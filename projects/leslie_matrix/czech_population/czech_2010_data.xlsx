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clav/Documents/academy/teaching/modeling/projects/leslie_matrix/correct_sript/"/>
    </mc:Choice>
  </mc:AlternateContent>
  <xr:revisionPtr revIDLastSave="0" documentId="8_{5214E0CE-F9CD-7D4D-A88C-0AB6818D4588}" xr6:coauthVersionLast="47" xr6:coauthVersionMax="47" xr10:uidLastSave="{00000000-0000-0000-0000-000000000000}"/>
  <bookViews>
    <workbookView xWindow="0" yWindow="860" windowWidth="36000" windowHeight="22520" xr2:uid="{ED171B77-6668-764E-B4F8-C2A32EEFB67D}"/>
  </bookViews>
  <sheets>
    <sheet name="data" sheetId="1" r:id="rId1"/>
  </sheets>
  <definedNames>
    <definedName name="_xlnm.Print_Area" localSheetId="0">data!$A$1:$B$102</definedName>
    <definedName name="_xlnm.Print_Titles" localSheetId="0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2" i="1" l="1"/>
  <c r="E2" i="1"/>
  <c r="J12" i="1"/>
  <c r="K12" i="1" s="1"/>
  <c r="I12" i="1"/>
  <c r="K7" i="1"/>
  <c r="J97" i="1"/>
  <c r="K97" i="1" s="1"/>
  <c r="I97" i="1"/>
  <c r="H97" i="1"/>
  <c r="J92" i="1"/>
  <c r="I92" i="1"/>
  <c r="H92" i="1"/>
  <c r="K92" i="1" s="1"/>
  <c r="J87" i="1"/>
  <c r="I87" i="1"/>
  <c r="H87" i="1"/>
  <c r="J82" i="1"/>
  <c r="I82" i="1"/>
  <c r="H82" i="1"/>
  <c r="L82" i="1" s="1"/>
  <c r="J77" i="1"/>
  <c r="I77" i="1"/>
  <c r="H77" i="1"/>
  <c r="K77" i="1" s="1"/>
  <c r="J72" i="1"/>
  <c r="K72" i="1" s="1"/>
  <c r="I72" i="1"/>
  <c r="L72" i="1" s="1"/>
  <c r="H72" i="1"/>
  <c r="H67" i="1"/>
  <c r="J67" i="1"/>
  <c r="K67" i="1" s="1"/>
  <c r="I67" i="1"/>
  <c r="L67" i="1" s="1"/>
  <c r="J62" i="1"/>
  <c r="I62" i="1"/>
  <c r="H62" i="1"/>
  <c r="J57" i="1"/>
  <c r="K57" i="1" s="1"/>
  <c r="I57" i="1"/>
  <c r="H57" i="1"/>
  <c r="J52" i="1"/>
  <c r="I52" i="1"/>
  <c r="H52" i="1"/>
  <c r="K52" i="1" s="1"/>
  <c r="J47" i="1"/>
  <c r="I47" i="1"/>
  <c r="H47" i="1"/>
  <c r="J42" i="1"/>
  <c r="I42" i="1"/>
  <c r="H42" i="1"/>
  <c r="J37" i="1"/>
  <c r="I37" i="1"/>
  <c r="H37" i="1"/>
  <c r="K37" i="1" s="1"/>
  <c r="J32" i="1"/>
  <c r="K32" i="1" s="1"/>
  <c r="I32" i="1"/>
  <c r="L32" i="1" s="1"/>
  <c r="H32" i="1"/>
  <c r="J27" i="1"/>
  <c r="I27" i="1"/>
  <c r="H27" i="1"/>
  <c r="J22" i="1"/>
  <c r="I22" i="1"/>
  <c r="H22" i="1"/>
  <c r="J17" i="1"/>
  <c r="K17" i="1" s="1"/>
  <c r="I17" i="1"/>
  <c r="H17" i="1"/>
  <c r="H12" i="1"/>
  <c r="J7" i="1"/>
  <c r="I7" i="1"/>
  <c r="H7" i="1"/>
  <c r="I2" i="1"/>
  <c r="L2" i="1" s="1"/>
  <c r="J2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2" i="1"/>
  <c r="L37" i="1" l="1"/>
  <c r="K82" i="1"/>
  <c r="L42" i="1"/>
  <c r="L47" i="1"/>
  <c r="L87" i="1"/>
  <c r="L22" i="1"/>
  <c r="K47" i="1"/>
  <c r="L62" i="1"/>
  <c r="K87" i="1"/>
  <c r="L7" i="1"/>
  <c r="K22" i="1"/>
  <c r="K62" i="1"/>
  <c r="L77" i="1"/>
  <c r="L52" i="1"/>
  <c r="L92" i="1"/>
  <c r="L27" i="1"/>
  <c r="K27" i="1"/>
  <c r="K2" i="1"/>
  <c r="L17" i="1"/>
  <c r="K42" i="1"/>
  <c r="L57" i="1"/>
  <c r="L97" i="1"/>
  <c r="L12" i="1"/>
</calcChain>
</file>

<file path=xl/sharedStrings.xml><?xml version="1.0" encoding="utf-8"?>
<sst xmlns="http://schemas.openxmlformats.org/spreadsheetml/2006/main" count="32" uniqueCount="27">
  <si>
    <t>age</t>
  </si>
  <si>
    <t>population</t>
  </si>
  <si>
    <t>births</t>
  </si>
  <si>
    <t>survival_rate</t>
  </si>
  <si>
    <t>fertility_rate</t>
  </si>
  <si>
    <t>deaths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</si>
  <si>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</si>
  <si>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</si>
  <si>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</si>
  <si>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</si>
  <si>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</si>
  <si>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</si>
  <si>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</si>
  <si>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</si>
  <si>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</si>
  <si>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</si>
  <si>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</si>
  <si>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</si>
  <si>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</si>
  <si>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</si>
  <si>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</si>
  <si>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</si>
  <si>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</si>
  <si>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</si>
  <si>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group</t>
  </si>
  <si>
    <t>05-09</t>
  </si>
  <si>
    <t>00-04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</si>
</sst>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Kč&quot;;\-#,##0\ &quot;Kč&quot;"/>
    <numFmt numFmtId="165" formatCode="#,##0.000000"/>
  </numFmts>
  <fonts count="9">
    <font>
      <sz val="10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8"/>
      <name val="Arial CE"/>
      <charset val="238"/>
    </font>
    <font>
      <b/>
      <sz val="10"/>
      <name val="Arial CE"/>
      <family val="2"/>
      <charset val="238"/>
    </font>
    <font>
      <sz val="10"/>
      <name val="Arial CE"/>
      <charset val="238"/>
    </font>
    <font>
      <sz val="10"/>
      <name val="System"/>
      <charset val="238"/>
    </font>
    <font>
      <b/>
      <sz val="9"/>
      <name val="Roboto Mono"/>
    </font>
    <font>
      <sz val="9"/>
      <name val="Roboto Mono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>
      <alignment vertical="top"/>
    </xf>
    <xf numFmtId="0" fontId="5" fillId="0" borderId="1" applyNumberFormat="0" applyFont="0" applyFill="0" applyAlignment="0" applyProtection="0"/>
    <xf numFmtId="0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 applyNumberFormat="0" applyFont="0" applyFill="0" applyBorder="0" applyAlignment="0" applyProtection="0">
      <alignment vertical="top"/>
    </xf>
  </cellStyleXfs>
  <cellXfs count="25">
    <xf numFmtId="0" fontId="0" fillId="0" borderId="0" xfId="0" applyAlignment="1"/>
    <xf numFmtId="0" fontId="4" fillId="0" borderId="0" xfId="0" applyFont="1">
      <alignment vertical="top"/>
    </xf>
    <xf numFmtId="165" fontId="8" fillId="2" borderId="0" xfId="0" applyNumberFormat="1" applyFont="1" applyFill="1" applyAlignment="1" applyProtection="1">
      <alignment horizontal="right"/>
      <protection locked="0"/>
    </xf>
    <xf numFmtId="0" fontId="7" fillId="0" borderId="0" xfId="0" applyFont="1" applyAlignment="1" applyProtection="1">
      <alignment horizontal="right" vertical="top" wrapText="1"/>
      <protection locked="0"/>
    </xf>
    <xf numFmtId="3" fontId="7" fillId="0" borderId="0" xfId="0" applyNumberFormat="1" applyFont="1" applyAlignment="1" applyProtection="1">
      <alignment horizontal="right" vertical="top"/>
      <protection locked="0"/>
    </xf>
    <xf numFmtId="0" fontId="8" fillId="0" borderId="0" xfId="0" applyFont="1" applyAlignment="1" applyProtection="1">
      <alignment horizontal="right"/>
      <protection locked="0"/>
    </xf>
    <xf numFmtId="3" fontId="8" fillId="0" borderId="0" xfId="0" applyNumberFormat="1" applyFont="1" applyAlignment="1" applyProtection="1">
      <alignment horizontal="right"/>
      <protection locked="0"/>
    </xf>
    <xf numFmtId="0" fontId="8" fillId="0" borderId="0" xfId="0" applyFont="1" applyAlignment="1">
      <alignment horizontal="right"/>
    </xf>
    <xf numFmtId="3" fontId="8" fillId="0" borderId="0" xfId="0" applyNumberFormat="1" applyFont="1" applyAlignment="1">
      <alignment horizontal="right"/>
    </xf>
    <xf numFmtId="165" fontId="8" fillId="0" borderId="0" xfId="0" applyNumberFormat="1" applyFont="1" applyFill="1" applyAlignment="1" applyProtection="1">
      <alignment horizontal="right"/>
      <protection locked="0"/>
    </xf>
    <xf numFmtId="165" fontId="8" fillId="0" borderId="0" xfId="0" applyNumberFormat="1" applyFont="1" applyFill="1" applyAlignment="1">
      <alignment horizontal="right"/>
    </xf>
    <xf numFmtId="165" fontId="7" fillId="3" borderId="0" xfId="0" applyNumberFormat="1" applyFont="1" applyFill="1" applyAlignment="1" applyProtection="1">
      <alignment horizontal="right" vertical="top"/>
      <protection locked="0"/>
    </xf>
    <xf numFmtId="0" fontId="8" fillId="2" borderId="0" xfId="0" applyFont="1" applyFill="1" applyAlignment="1" applyProtection="1">
      <alignment horizontal="right"/>
      <protection locked="0"/>
    </xf>
    <xf numFmtId="3" fontId="8" fillId="2" borderId="0" xfId="0" applyNumberFormat="1" applyFont="1" applyFill="1" applyAlignment="1" applyProtection="1">
      <alignment horizontal="right"/>
      <protection locked="0"/>
    </xf>
    <xf numFmtId="0" fontId="0" fillId="2" borderId="0" xfId="0" applyFill="1" applyAlignment="1"/>
    <xf numFmtId="3" fontId="0" fillId="2" borderId="0" xfId="0" applyNumberFormat="1" applyFill="1" applyAlignment="1"/>
    <xf numFmtId="49" fontId="4" fillId="0" borderId="0" xfId="0" applyNumberFormat="1" applyFont="1">
      <alignment vertical="top"/>
    </xf>
    <xf numFmtId="49" fontId="0" fillId="2" borderId="0" xfId="0" applyNumberFormat="1" applyFill="1" applyAlignment="1"/>
    <xf numFmtId="49" fontId="0" fillId="0" borderId="0" xfId="0" applyNumberFormat="1" applyAlignment="1"/>
    <xf numFmtId="0" fontId="8" fillId="2" borderId="2" xfId="0" applyFont="1" applyFill="1" applyBorder="1" applyAlignment="1">
      <alignment horizontal="right"/>
    </xf>
    <xf numFmtId="3" fontId="8" fillId="2" borderId="2" xfId="0" applyNumberFormat="1" applyFont="1" applyFill="1" applyBorder="1" applyAlignment="1" applyProtection="1">
      <alignment horizontal="right"/>
      <protection locked="0"/>
    </xf>
    <xf numFmtId="165" fontId="8" fillId="2" borderId="2" xfId="0" applyNumberFormat="1" applyFont="1" applyFill="1" applyBorder="1" applyAlignment="1" applyProtection="1">
      <alignment horizontal="right"/>
      <protection locked="0"/>
    </xf>
    <xf numFmtId="49" fontId="0" fillId="2" borderId="2" xfId="0" applyNumberFormat="1" applyFill="1" applyBorder="1" applyAlignment="1"/>
    <xf numFmtId="3" fontId="0" fillId="2" borderId="2" xfId="0" applyNumberFormat="1" applyFill="1" applyBorder="1" applyAlignment="1"/>
    <xf numFmtId="0" fontId="0" fillId="2" borderId="2" xfId="0" applyFill="1" applyBorder="1" applyAlignment="1"/>
  </cellXfs>
  <cellStyles count="9">
    <cellStyle name="Celkem" xfId="1" xr:uid="{03AC5A41-66DE-674A-A5DD-9CB106D1A96B}"/>
    <cellStyle name="Datum" xfId="2" xr:uid="{66DBACCF-BD4D-BC46-A301-7E7A77C5098F}"/>
    <cellStyle name="Finanční0" xfId="3" xr:uid="{3DEE0C3F-3F8E-0D4E-B52D-231A3D7171AB}"/>
    <cellStyle name="Měna0" xfId="4" xr:uid="{EF143CE8-C3A0-F54C-A080-57F15527684C}"/>
    <cellStyle name="Normal" xfId="0" builtinId="0"/>
    <cellStyle name="Normální" xfId="8" xr:uid="{65B8D746-980F-2646-85B4-800FC282D123}"/>
    <cellStyle name="Pevný" xfId="5" xr:uid="{9EB5E9D3-C817-F843-BB3F-4A7D8D8DCC4B}"/>
    <cellStyle name="Záhlaví 1" xfId="6" xr:uid="{162FD15E-FDEB-B340-BF3B-55B994EA2AD9}"/>
    <cellStyle name="Záhlaví 2" xfId="7" xr:uid="{C0D1248C-ABF6-0140-A5C4-B2252E63726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2F64-E158-2F4E-AA39-D567EF667313}">
  <dimension ref="A1:L102"/>
  <sheetViews>
    <sheetView tabSelected="1" topLeftCell="A77" zoomScale="174" zoomScaleNormal="100" workbookViewId="0">
      <selection activeCell="A103" sqref="A103:XFD103"/>
    </sheetView>
  </sheetViews>
  <sheetFormatPr baseColWidth="10" defaultColWidth="10.33203125" defaultRowHeight="13"/>
  <cols>
    <col min="1" max="1" width="8.1640625" style="7" customWidth="1"/>
    <col min="2" max="4" width="11" style="8" customWidth="1"/>
    <col min="5" max="6" width="14.33203125" style="10" customWidth="1"/>
    <col min="7" max="7" width="5.6640625" style="18" bestFit="1" customWidth="1"/>
  </cols>
  <sheetData>
    <row r="1" spans="1:12" s="1" customFormat="1">
      <c r="A1" s="3" t="s">
        <v>0</v>
      </c>
      <c r="B1" s="4" t="s">
        <v>1</v>
      </c>
      <c r="C1" s="4" t="s">
        <v>2</v>
      </c>
      <c r="D1" s="4" t="s">
        <v>5</v>
      </c>
      <c r="E1" s="11" t="s">
        <v>3</v>
      </c>
      <c r="F1" s="11" t="s">
        <v>4</v>
      </c>
      <c r="G1" s="16" t="s">
        <v>24</v>
      </c>
      <c r="H1" s="4" t="s">
        <v>1</v>
      </c>
      <c r="I1" s="4" t="s">
        <v>2</v>
      </c>
      <c r="J1" s="4" t="s">
        <v>5</v>
      </c>
      <c r="K1" s="11" t="s">
        <v>3</v>
      </c>
      <c r="L1" s="11" t="s">
        <v>4</v>
      </c>
    </row>
    <row r="2" spans="1:12" s="14" customFormat="1">
      <c r="A2" s="12">
        <v>0</v>
      </c>
      <c r="B2" s="13">
        <v>58115</v>
      </c>
      <c r="C2" s="13">
        <v>0</v>
      </c>
      <c r="D2" s="13">
        <v>141</v>
      </c>
      <c r="E2" s="2">
        <f>1-D2/B2</f>
        <v>0.99757377613352838</v>
      </c>
      <c r="F2" s="2">
        <f>C2/B2</f>
        <v>0</v>
      </c>
      <c r="G2" s="17" t="s">
        <v>26</v>
      </c>
      <c r="H2" s="15">
        <f>SUM(B2:B6)</f>
        <v>275413</v>
      </c>
      <c r="I2" s="15">
        <f>SUM(C2:C6)</f>
        <v>0</v>
      </c>
      <c r="J2" s="15">
        <f>SUM(D2:D6)</f>
        <v>178</v>
      </c>
      <c r="K2" s="2">
        <f>1-J2/H2</f>
        <v>0.99935369790097051</v>
      </c>
      <c r="L2" s="2">
        <f t="shared" ref="L2" si="0">I2/H2</f>
        <v>0</v>
      </c>
    </row>
    <row r="3" spans="1:12" ht="13" customHeight="1">
      <c r="A3" s="5">
        <v>1</v>
      </c>
      <c r="B3" s="6">
        <v>58635</v>
      </c>
      <c r="C3" s="6">
        <v>0</v>
      </c>
      <c r="D3" s="6">
        <v>13</v>
      </c>
      <c r="E3" s="9">
        <f>1-D3/B3</f>
        <v>0.9997782894175834</v>
      </c>
      <c r="F3" s="9">
        <f>C3/B3</f>
        <v>0</v>
      </c>
    </row>
    <row r="4" spans="1:12">
      <c r="A4" s="5">
        <v>2</v>
      </c>
      <c r="B4" s="6">
        <v>56453</v>
      </c>
      <c r="C4" s="6">
        <v>0</v>
      </c>
      <c r="D4" s="6">
        <v>10</v>
      </c>
      <c r="E4" s="9">
        <f>1-D4/B4</f>
        <v>0.99982286149540323</v>
      </c>
      <c r="F4" s="9">
        <f>C4/B4</f>
        <v>0</v>
      </c>
    </row>
    <row r="5" spans="1:12">
      <c r="A5" s="5">
        <v>3</v>
      </c>
      <c r="B5" s="6">
        <v>51717</v>
      </c>
      <c r="C5" s="6">
        <v>0</v>
      </c>
      <c r="D5" s="6">
        <v>6</v>
      </c>
      <c r="E5" s="9">
        <f>1-D5/B5</f>
        <v>0.99988398398979061</v>
      </c>
      <c r="F5" s="9">
        <f>C5/B5</f>
        <v>0</v>
      </c>
    </row>
    <row r="6" spans="1:12">
      <c r="A6" s="5">
        <v>4</v>
      </c>
      <c r="B6" s="6">
        <v>50493</v>
      </c>
      <c r="C6" s="6">
        <v>0</v>
      </c>
      <c r="D6" s="6">
        <v>8</v>
      </c>
      <c r="E6" s="9">
        <f>1-D6/B6</f>
        <v>0.99984156219674014</v>
      </c>
      <c r="F6" s="9">
        <f>C6/B6</f>
        <v>0</v>
      </c>
    </row>
    <row r="7" spans="1:12" s="14" customFormat="1">
      <c r="A7" s="12">
        <v>5</v>
      </c>
      <c r="B7" s="13">
        <v>47947</v>
      </c>
      <c r="C7" s="13">
        <v>0</v>
      </c>
      <c r="D7" s="13">
        <v>9</v>
      </c>
      <c r="E7" s="2">
        <f>1-D7/B7</f>
        <v>0.99981229273990035</v>
      </c>
      <c r="F7" s="2">
        <f>C7/B7</f>
        <v>0</v>
      </c>
      <c r="G7" s="17" t="s">
        <v>25</v>
      </c>
      <c r="H7" s="15">
        <f>SUM(B7:B11)</f>
        <v>228558</v>
      </c>
      <c r="I7" s="15">
        <f>SUM(C7:C11)</f>
        <v>0</v>
      </c>
      <c r="J7" s="15">
        <f>SUM(D7:D11)</f>
        <v>25</v>
      </c>
      <c r="K7" s="2">
        <f>1-J7/H7</f>
        <v>0.99989061857384121</v>
      </c>
      <c r="L7" s="2">
        <f t="shared" ref="L7" si="1">I7/H7</f>
        <v>0</v>
      </c>
    </row>
    <row r="8" spans="1:12">
      <c r="A8" s="5">
        <v>6</v>
      </c>
      <c r="B8" s="6">
        <v>46231</v>
      </c>
      <c r="C8" s="6">
        <v>0</v>
      </c>
      <c r="D8" s="6">
        <v>6</v>
      </c>
      <c r="E8" s="9">
        <f>1-D8/B8</f>
        <v>0.99987021695399192</v>
      </c>
      <c r="F8" s="9">
        <f>C8/B8</f>
        <v>0</v>
      </c>
    </row>
    <row r="9" spans="1:12">
      <c r="A9" s="5">
        <v>7</v>
      </c>
      <c r="B9" s="6">
        <v>45756</v>
      </c>
      <c r="C9" s="6">
        <v>0</v>
      </c>
      <c r="D9" s="6">
        <v>5</v>
      </c>
      <c r="E9" s="9">
        <f>1-D9/B9</f>
        <v>0.99989072471369878</v>
      </c>
      <c r="F9" s="9">
        <f>C9/B9</f>
        <v>0</v>
      </c>
    </row>
    <row r="10" spans="1:12">
      <c r="A10" s="5">
        <v>8</v>
      </c>
      <c r="B10" s="6">
        <v>44950</v>
      </c>
      <c r="C10" s="6">
        <v>0</v>
      </c>
      <c r="D10" s="6">
        <v>2</v>
      </c>
      <c r="E10" s="9">
        <f>1-D10/B10</f>
        <v>0.99995550611790873</v>
      </c>
      <c r="F10" s="9">
        <f>C10/B10</f>
        <v>0</v>
      </c>
    </row>
    <row r="11" spans="1:12">
      <c r="A11" s="5">
        <v>9</v>
      </c>
      <c r="B11" s="6">
        <v>43674</v>
      </c>
      <c r="C11" s="6">
        <v>0</v>
      </c>
      <c r="D11" s="6">
        <v>3</v>
      </c>
      <c r="E11" s="9">
        <f>1-D11/B11</f>
        <v>0.99993130924577556</v>
      </c>
      <c r="F11" s="9">
        <f>C11/B11</f>
        <v>0</v>
      </c>
    </row>
    <row r="12" spans="1:12" s="14" customFormat="1">
      <c r="A12" s="12">
        <v>10</v>
      </c>
      <c r="B12" s="13">
        <v>43588</v>
      </c>
      <c r="C12" s="13">
        <v>0</v>
      </c>
      <c r="D12" s="13">
        <v>5</v>
      </c>
      <c r="E12" s="2">
        <f>1-D12/B12</f>
        <v>0.99988528952922828</v>
      </c>
      <c r="F12" s="2">
        <f>C12/B12</f>
        <v>0</v>
      </c>
      <c r="G12" s="17" t="s">
        <v>6</v>
      </c>
      <c r="H12" s="15">
        <f>SUM(B12:B16)</f>
        <v>223394</v>
      </c>
      <c r="I12" s="15">
        <f>SUM(C12:C16)</f>
        <v>6</v>
      </c>
      <c r="J12" s="15">
        <f>SUM(D12:D16)</f>
        <v>25</v>
      </c>
      <c r="K12" s="2">
        <f>1-J12/H12</f>
        <v>0.99988809010089796</v>
      </c>
      <c r="L12" s="2">
        <f t="shared" ref="L12" si="2">I12/H12</f>
        <v>2.6858375784488392E-5</v>
      </c>
    </row>
    <row r="13" spans="1:12">
      <c r="A13" s="5">
        <v>11</v>
      </c>
      <c r="B13" s="6">
        <v>44029</v>
      </c>
      <c r="C13" s="6">
        <v>0</v>
      </c>
      <c r="D13" s="6">
        <v>5</v>
      </c>
      <c r="E13" s="9">
        <f>1-D13/B13</f>
        <v>0.9998864384837266</v>
      </c>
      <c r="F13" s="9">
        <f>C13/B13</f>
        <v>0</v>
      </c>
    </row>
    <row r="14" spans="1:12">
      <c r="A14" s="5">
        <v>12</v>
      </c>
      <c r="B14" s="6">
        <v>44359</v>
      </c>
      <c r="C14" s="6">
        <v>0</v>
      </c>
      <c r="D14" s="6">
        <v>5</v>
      </c>
      <c r="E14" s="9">
        <f>1-D14/B14</f>
        <v>0.99988728330214838</v>
      </c>
      <c r="F14" s="9">
        <f>C14/B14</f>
        <v>0</v>
      </c>
    </row>
    <row r="15" spans="1:12">
      <c r="A15" s="5">
        <v>13</v>
      </c>
      <c r="B15" s="6">
        <v>44394</v>
      </c>
      <c r="C15" s="6">
        <v>0</v>
      </c>
      <c r="D15" s="6">
        <v>7</v>
      </c>
      <c r="E15" s="9">
        <f>1-D15/B15</f>
        <v>0.99984232103437398</v>
      </c>
      <c r="F15" s="9">
        <f>C15/B15</f>
        <v>0</v>
      </c>
    </row>
    <row r="16" spans="1:12">
      <c r="A16" s="5">
        <v>14</v>
      </c>
      <c r="B16" s="6">
        <v>47024</v>
      </c>
      <c r="C16" s="6">
        <v>6</v>
      </c>
      <c r="D16" s="6">
        <v>3</v>
      </c>
      <c r="E16" s="9">
        <f>1-D16/B16</f>
        <v>0.99993620279006468</v>
      </c>
      <c r="F16" s="9">
        <f>C16/B16</f>
        <v>1.2759441987070431E-4</v>
      </c>
    </row>
    <row r="17" spans="1:12" s="14" customFormat="1">
      <c r="A17" s="12">
        <v>15</v>
      </c>
      <c r="B17" s="13">
        <v>52510</v>
      </c>
      <c r="C17" s="13">
        <v>40</v>
      </c>
      <c r="D17" s="13">
        <v>10</v>
      </c>
      <c r="E17" s="2">
        <f>1-D17/B17</f>
        <v>0.99980956008379351</v>
      </c>
      <c r="F17" s="2">
        <f>C17/B17</f>
        <v>7.617596648257475E-4</v>
      </c>
      <c r="G17" s="17" t="s">
        <v>7</v>
      </c>
      <c r="H17" s="15">
        <f>SUM(B17:B21)</f>
        <v>300086</v>
      </c>
      <c r="I17" s="15">
        <f>SUM(C17:C21)</f>
        <v>1637</v>
      </c>
      <c r="J17" s="15">
        <f>SUM(D17:D21)</f>
        <v>65</v>
      </c>
      <c r="K17" s="2">
        <f>1-J17/H17</f>
        <v>0.99978339542664441</v>
      </c>
      <c r="L17" s="2">
        <f t="shared" ref="L17" si="3">I17/H17</f>
        <v>5.4551028705104535E-3</v>
      </c>
    </row>
    <row r="18" spans="1:12">
      <c r="A18" s="5">
        <v>16</v>
      </c>
      <c r="B18" s="6">
        <v>59468</v>
      </c>
      <c r="C18" s="6">
        <v>116</v>
      </c>
      <c r="D18" s="6">
        <v>9</v>
      </c>
      <c r="E18" s="9">
        <f>1-D18/B18</f>
        <v>0.99984865810183632</v>
      </c>
      <c r="F18" s="9">
        <f>C18/B18</f>
        <v>1.9506289096657026E-3</v>
      </c>
    </row>
    <row r="19" spans="1:12">
      <c r="A19" s="5">
        <v>17</v>
      </c>
      <c r="B19" s="6">
        <v>59772</v>
      </c>
      <c r="C19" s="6">
        <v>232</v>
      </c>
      <c r="D19" s="6">
        <v>14</v>
      </c>
      <c r="E19" s="9">
        <f>1-D19/B19</f>
        <v>0.99976577661781441</v>
      </c>
      <c r="F19" s="9">
        <f>C19/B19</f>
        <v>3.8814160476477282E-3</v>
      </c>
    </row>
    <row r="20" spans="1:12">
      <c r="A20" s="5">
        <v>18</v>
      </c>
      <c r="B20" s="6">
        <v>63587</v>
      </c>
      <c r="C20" s="6">
        <v>454</v>
      </c>
      <c r="D20" s="6">
        <v>7</v>
      </c>
      <c r="E20" s="9">
        <f>1-D20/B20</f>
        <v>0.99988991460518661</v>
      </c>
      <c r="F20" s="9">
        <f>C20/B20</f>
        <v>7.1398241778979979E-3</v>
      </c>
    </row>
    <row r="21" spans="1:12">
      <c r="A21" s="5">
        <v>19</v>
      </c>
      <c r="B21" s="6">
        <v>64749</v>
      </c>
      <c r="C21" s="6">
        <v>795</v>
      </c>
      <c r="D21" s="6">
        <v>25</v>
      </c>
      <c r="E21" s="9">
        <f>1-D21/B21</f>
        <v>0.99961389365086717</v>
      </c>
      <c r="F21" s="9">
        <f>C21/B21</f>
        <v>1.2278181902423203E-2</v>
      </c>
    </row>
    <row r="22" spans="1:12" s="14" customFormat="1">
      <c r="A22" s="12">
        <v>20</v>
      </c>
      <c r="B22" s="13">
        <v>64990</v>
      </c>
      <c r="C22" s="13">
        <v>1004</v>
      </c>
      <c r="D22" s="13">
        <v>22</v>
      </c>
      <c r="E22" s="2">
        <f>1-D22/B22</f>
        <v>0.99966148638252039</v>
      </c>
      <c r="F22" s="2">
        <f>C22/B22</f>
        <v>1.5448530543160486E-2</v>
      </c>
      <c r="G22" s="17" t="s">
        <v>8</v>
      </c>
      <c r="H22" s="15">
        <f>SUM(B22:B26)</f>
        <v>339507</v>
      </c>
      <c r="I22" s="15">
        <f>SUM(C22:C26)</f>
        <v>7472</v>
      </c>
      <c r="J22" s="15">
        <f>SUM(D22:D26)</f>
        <v>86</v>
      </c>
      <c r="K22" s="2">
        <f>1-J22/H22</f>
        <v>0.99974669152624251</v>
      </c>
      <c r="L22" s="2">
        <f t="shared" ref="L22" si="4">I22/H22</f>
        <v>2.2008382743212953E-2</v>
      </c>
    </row>
    <row r="23" spans="1:12">
      <c r="A23" s="5">
        <v>21</v>
      </c>
      <c r="B23" s="6">
        <v>68196</v>
      </c>
      <c r="C23" s="6">
        <v>1251</v>
      </c>
      <c r="D23" s="6">
        <v>13</v>
      </c>
      <c r="E23" s="9">
        <f>1-D23/B23</f>
        <v>0.99980937298375272</v>
      </c>
      <c r="F23" s="9">
        <f>C23/B23</f>
        <v>1.8344184409642795E-2</v>
      </c>
    </row>
    <row r="24" spans="1:12">
      <c r="A24" s="5">
        <v>22</v>
      </c>
      <c r="B24" s="6">
        <v>67391</v>
      </c>
      <c r="C24" s="6">
        <v>1453</v>
      </c>
      <c r="D24" s="6">
        <v>12</v>
      </c>
      <c r="E24" s="9">
        <f>1-D24/B24</f>
        <v>0.99982193467970504</v>
      </c>
      <c r="F24" s="9">
        <f>C24/B24</f>
        <v>2.1560742532385629E-2</v>
      </c>
    </row>
    <row r="25" spans="1:12">
      <c r="A25" s="5">
        <v>23</v>
      </c>
      <c r="B25" s="6">
        <v>68503</v>
      </c>
      <c r="C25" s="6">
        <v>1734</v>
      </c>
      <c r="D25" s="6">
        <v>22</v>
      </c>
      <c r="E25" s="9">
        <f>1-D25/B25</f>
        <v>0.99967884618191905</v>
      </c>
      <c r="F25" s="9">
        <f>C25/B25</f>
        <v>2.5312760025108388E-2</v>
      </c>
    </row>
    <row r="26" spans="1:12">
      <c r="A26" s="5">
        <v>24</v>
      </c>
      <c r="B26" s="6">
        <v>70427</v>
      </c>
      <c r="C26" s="6">
        <v>2030</v>
      </c>
      <c r="D26" s="6">
        <v>17</v>
      </c>
      <c r="E26" s="9">
        <f>1-D26/B26</f>
        <v>0.99975861530378973</v>
      </c>
      <c r="F26" s="9">
        <f>C26/B26</f>
        <v>2.8824172547460492E-2</v>
      </c>
    </row>
    <row r="27" spans="1:12" s="14" customFormat="1">
      <c r="A27" s="12">
        <v>25</v>
      </c>
      <c r="B27" s="13">
        <v>70689</v>
      </c>
      <c r="C27" s="13">
        <v>2443</v>
      </c>
      <c r="D27" s="13">
        <v>20</v>
      </c>
      <c r="E27" s="2">
        <f>1-D27/B27</f>
        <v>0.99971707054845871</v>
      </c>
      <c r="F27" s="2">
        <f>C27/B27</f>
        <v>3.4559832505764686E-2</v>
      </c>
      <c r="G27" s="17" t="s">
        <v>9</v>
      </c>
      <c r="H27" s="15">
        <f>SUM(B27:B31)</f>
        <v>365668</v>
      </c>
      <c r="I27" s="15">
        <f>SUM(C27:C31)</f>
        <v>17665</v>
      </c>
      <c r="J27" s="15">
        <f t="shared" ref="J27" si="5">SUM(D27:D31)</f>
        <v>91</v>
      </c>
      <c r="K27" s="2">
        <f>1-J27/H27</f>
        <v>0.99975114037870416</v>
      </c>
      <c r="L27" s="2">
        <f t="shared" ref="L27" si="6">I27/H27</f>
        <v>4.8308848463633682E-2</v>
      </c>
    </row>
    <row r="28" spans="1:12">
      <c r="A28" s="5">
        <v>26</v>
      </c>
      <c r="B28" s="6">
        <v>70836</v>
      </c>
      <c r="C28" s="6">
        <v>2985</v>
      </c>
      <c r="D28" s="6">
        <v>9</v>
      </c>
      <c r="E28" s="9">
        <f>1-D28/B28</f>
        <v>0.99987294595968157</v>
      </c>
      <c r="F28" s="9">
        <f>C28/B28</f>
        <v>4.213959003896324E-2</v>
      </c>
    </row>
    <row r="29" spans="1:12">
      <c r="A29" s="5">
        <v>27</v>
      </c>
      <c r="B29" s="6">
        <v>73184</v>
      </c>
      <c r="C29" s="6">
        <v>3576</v>
      </c>
      <c r="D29" s="6">
        <v>18</v>
      </c>
      <c r="E29" s="9">
        <f>1-D29/B29</f>
        <v>0.99975404459991257</v>
      </c>
      <c r="F29" s="9">
        <f>C29/B29</f>
        <v>4.8863139484040224E-2</v>
      </c>
    </row>
    <row r="30" spans="1:12">
      <c r="A30" s="5">
        <v>28</v>
      </c>
      <c r="B30" s="6">
        <v>73364</v>
      </c>
      <c r="C30" s="6">
        <v>4233</v>
      </c>
      <c r="D30" s="6">
        <v>25</v>
      </c>
      <c r="E30" s="9">
        <f>1-D30/B30</f>
        <v>0.99965923341148244</v>
      </c>
      <c r="F30" s="9">
        <f>C30/B30</f>
        <v>5.7698598767788017E-2</v>
      </c>
    </row>
    <row r="31" spans="1:12">
      <c r="A31" s="5">
        <v>29</v>
      </c>
      <c r="B31" s="6">
        <v>77595</v>
      </c>
      <c r="C31" s="6">
        <v>4428</v>
      </c>
      <c r="D31" s="6">
        <v>19</v>
      </c>
      <c r="E31" s="9">
        <f>1-D31/B31</f>
        <v>0.99975513886204004</v>
      </c>
      <c r="F31" s="9">
        <f>C31/B31</f>
        <v>5.7065532572975065E-2</v>
      </c>
    </row>
    <row r="32" spans="1:12" s="14" customFormat="1">
      <c r="A32" s="12">
        <v>30</v>
      </c>
      <c r="B32" s="13">
        <v>85904</v>
      </c>
      <c r="C32" s="13">
        <v>4948</v>
      </c>
      <c r="D32" s="13">
        <v>26</v>
      </c>
      <c r="E32" s="2">
        <f>1-D32/B32</f>
        <v>0.99969733656174331</v>
      </c>
      <c r="F32" s="2">
        <f>C32/B32</f>
        <v>5.7599180480536416E-2</v>
      </c>
      <c r="G32" s="17" t="s">
        <v>10</v>
      </c>
      <c r="H32" s="15">
        <f>SUM(B32:B36)</f>
        <v>450984</v>
      </c>
      <c r="I32" s="15">
        <f>SUM(C32:C36)</f>
        <v>21413</v>
      </c>
      <c r="J32" s="15">
        <f t="shared" ref="J32" si="7">SUM(D32:D36)</f>
        <v>161</v>
      </c>
      <c r="K32" s="2">
        <f>1-J32/H32</f>
        <v>0.99964300285597718</v>
      </c>
      <c r="L32" s="2">
        <f t="shared" ref="L32" si="8">I32/H32</f>
        <v>4.7480620155038761E-2</v>
      </c>
    </row>
    <row r="33" spans="1:12">
      <c r="A33" s="5">
        <v>31</v>
      </c>
      <c r="B33" s="6">
        <v>88621</v>
      </c>
      <c r="C33" s="6">
        <v>4895</v>
      </c>
      <c r="D33" s="6">
        <v>26</v>
      </c>
      <c r="E33" s="9">
        <f>1-D33/B33</f>
        <v>0.9997066158134077</v>
      </c>
      <c r="F33" s="9">
        <f>C33/B33</f>
        <v>5.5235215129596824E-2</v>
      </c>
    </row>
    <row r="34" spans="1:12">
      <c r="A34" s="5">
        <v>32</v>
      </c>
      <c r="B34" s="6">
        <v>90121</v>
      </c>
      <c r="C34" s="6">
        <v>4465</v>
      </c>
      <c r="D34" s="6">
        <v>30</v>
      </c>
      <c r="E34" s="9">
        <f>1-D34/B34</f>
        <v>0.99966711421311349</v>
      </c>
      <c r="F34" s="9">
        <f t="shared" ref="F34:F65" si="9">C34/B34</f>
        <v>4.9544501281610281E-2</v>
      </c>
    </row>
    <row r="35" spans="1:12">
      <c r="A35" s="5">
        <v>33</v>
      </c>
      <c r="B35" s="6">
        <v>92212</v>
      </c>
      <c r="C35" s="6">
        <v>3912</v>
      </c>
      <c r="D35" s="6">
        <v>29</v>
      </c>
      <c r="E35" s="9">
        <f>1-D35/B35</f>
        <v>0.99968550730924388</v>
      </c>
      <c r="F35" s="9">
        <f t="shared" si="9"/>
        <v>4.2423979525441372E-2</v>
      </c>
    </row>
    <row r="36" spans="1:12">
      <c r="A36" s="5">
        <v>34</v>
      </c>
      <c r="B36" s="6">
        <v>94126</v>
      </c>
      <c r="C36" s="6">
        <v>3193</v>
      </c>
      <c r="D36" s="6">
        <v>50</v>
      </c>
      <c r="E36" s="9">
        <f>1-D36/B36</f>
        <v>0.99946879714425341</v>
      </c>
      <c r="F36" s="9">
        <f t="shared" si="9"/>
        <v>3.3922614367974842E-2</v>
      </c>
    </row>
    <row r="37" spans="1:12" s="14" customFormat="1">
      <c r="A37" s="12">
        <v>35</v>
      </c>
      <c r="B37" s="13">
        <v>94559</v>
      </c>
      <c r="C37" s="13">
        <v>2756</v>
      </c>
      <c r="D37" s="13">
        <v>42</v>
      </c>
      <c r="E37" s="2">
        <f>1-D37/B37</f>
        <v>0.99955583286625282</v>
      </c>
      <c r="F37" s="2">
        <f t="shared" si="9"/>
        <v>2.9145824300172381E-2</v>
      </c>
      <c r="G37" s="17" t="s">
        <v>11</v>
      </c>
      <c r="H37" s="15">
        <f>SUM(B37:B41)</f>
        <v>410637</v>
      </c>
      <c r="I37" s="15">
        <f>SUM(C37:C41)</f>
        <v>7858</v>
      </c>
      <c r="J37" s="15">
        <f t="shared" ref="J37" si="10">SUM(D37:D41)</f>
        <v>231</v>
      </c>
      <c r="K37" s="2">
        <f>1-J37/H37</f>
        <v>0.99943745936191819</v>
      </c>
      <c r="L37" s="2">
        <f t="shared" ref="L37" si="11">I37/H37</f>
        <v>1.9136122658211512E-2</v>
      </c>
    </row>
    <row r="38" spans="1:12">
      <c r="A38" s="5">
        <v>36</v>
      </c>
      <c r="B38" s="6">
        <v>87901</v>
      </c>
      <c r="C38" s="6">
        <v>2056</v>
      </c>
      <c r="D38" s="6">
        <v>47</v>
      </c>
      <c r="E38" s="9">
        <f>1-D38/B38</f>
        <v>0.99946530756191621</v>
      </c>
      <c r="F38" s="9">
        <f t="shared" si="9"/>
        <v>2.3389950057450995E-2</v>
      </c>
    </row>
    <row r="39" spans="1:12">
      <c r="A39" s="5">
        <v>37</v>
      </c>
      <c r="B39" s="6">
        <v>79926</v>
      </c>
      <c r="C39" s="6">
        <v>1412</v>
      </c>
      <c r="D39" s="6">
        <v>46</v>
      </c>
      <c r="E39" s="9">
        <f>1-D39/B39</f>
        <v>0.9994244676325601</v>
      </c>
      <c r="F39" s="9">
        <f t="shared" si="9"/>
        <v>1.7666341365763331E-2</v>
      </c>
    </row>
    <row r="40" spans="1:12">
      <c r="A40" s="5">
        <v>38</v>
      </c>
      <c r="B40" s="6">
        <v>75491</v>
      </c>
      <c r="C40" s="6">
        <v>950</v>
      </c>
      <c r="D40" s="6">
        <v>50</v>
      </c>
      <c r="E40" s="9">
        <f>1-D40/B40</f>
        <v>0.99933766939105328</v>
      </c>
      <c r="F40" s="9">
        <f t="shared" si="9"/>
        <v>1.2584281569988476E-2</v>
      </c>
    </row>
    <row r="41" spans="1:12">
      <c r="A41" s="5">
        <v>39</v>
      </c>
      <c r="B41" s="6">
        <v>72760</v>
      </c>
      <c r="C41" s="6">
        <v>684</v>
      </c>
      <c r="D41" s="6">
        <v>46</v>
      </c>
      <c r="E41" s="9">
        <f>1-D41/B41</f>
        <v>0.99936778449697639</v>
      </c>
      <c r="F41" s="9">
        <f t="shared" si="9"/>
        <v>9.4007696536558549E-3</v>
      </c>
    </row>
    <row r="42" spans="1:12" s="14" customFormat="1">
      <c r="A42" s="12">
        <v>40</v>
      </c>
      <c r="B42" s="13">
        <v>69551</v>
      </c>
      <c r="C42" s="13">
        <v>452</v>
      </c>
      <c r="D42" s="13">
        <v>62</v>
      </c>
      <c r="E42" s="2">
        <f>1-D42/B42</f>
        <v>0.99910856781354684</v>
      </c>
      <c r="F42" s="2">
        <f t="shared" si="9"/>
        <v>6.4988281980129688E-3</v>
      </c>
      <c r="G42" s="17" t="s">
        <v>12</v>
      </c>
      <c r="H42" s="15">
        <f>SUM(B42:B46)</f>
        <v>341023</v>
      </c>
      <c r="I42" s="15">
        <f>SUM(C42:C46)</f>
        <v>994</v>
      </c>
      <c r="J42" s="15">
        <f t="shared" ref="J42" si="12">SUM(D42:D46)</f>
        <v>360</v>
      </c>
      <c r="K42" s="2">
        <f>1-J42/H42</f>
        <v>0.99894435272694215</v>
      </c>
      <c r="L42" s="2">
        <f t="shared" ref="L42" si="13">I42/H42</f>
        <v>2.9147594150541168E-3</v>
      </c>
    </row>
    <row r="43" spans="1:12">
      <c r="A43" s="5">
        <v>41</v>
      </c>
      <c r="B43" s="6">
        <v>66594</v>
      </c>
      <c r="C43" s="6">
        <v>250</v>
      </c>
      <c r="D43" s="6">
        <v>64</v>
      </c>
      <c r="E43" s="9">
        <f>1-D43/B43</f>
        <v>0.99903895245817942</v>
      </c>
      <c r="F43" s="9">
        <f t="shared" si="9"/>
        <v>3.7540919602366577E-3</v>
      </c>
    </row>
    <row r="44" spans="1:12">
      <c r="A44" s="5">
        <v>42</v>
      </c>
      <c r="B44" s="6">
        <v>66680</v>
      </c>
      <c r="C44" s="6">
        <v>165</v>
      </c>
      <c r="D44" s="6">
        <v>63</v>
      </c>
      <c r="E44" s="9">
        <f>1-D44/B44</f>
        <v>0.99905518896220757</v>
      </c>
      <c r="F44" s="9">
        <f t="shared" si="9"/>
        <v>2.4745050989802039E-3</v>
      </c>
    </row>
    <row r="45" spans="1:12">
      <c r="A45" s="5">
        <v>43</v>
      </c>
      <c r="B45" s="6">
        <v>67683</v>
      </c>
      <c r="C45" s="6">
        <v>78</v>
      </c>
      <c r="D45" s="6">
        <v>87</v>
      </c>
      <c r="E45" s="9">
        <f>1-D45/B45</f>
        <v>0.99871459598422052</v>
      </c>
      <c r="F45" s="9">
        <f t="shared" si="9"/>
        <v>1.1524311865608794E-3</v>
      </c>
    </row>
    <row r="46" spans="1:12">
      <c r="A46" s="5">
        <v>44</v>
      </c>
      <c r="B46" s="6">
        <v>70515</v>
      </c>
      <c r="C46" s="6">
        <v>49</v>
      </c>
      <c r="D46" s="6">
        <v>84</v>
      </c>
      <c r="E46" s="9">
        <f>1-D46/B46</f>
        <v>0.99880876409274622</v>
      </c>
      <c r="F46" s="9">
        <f t="shared" si="9"/>
        <v>6.9488761256470257E-4</v>
      </c>
    </row>
    <row r="47" spans="1:12" s="14" customFormat="1">
      <c r="A47" s="12">
        <v>45</v>
      </c>
      <c r="B47" s="13">
        <v>73516</v>
      </c>
      <c r="C47" s="13">
        <v>23</v>
      </c>
      <c r="D47" s="13">
        <v>111</v>
      </c>
      <c r="E47" s="2">
        <f>1-D47/B47</f>
        <v>0.99849012459872677</v>
      </c>
      <c r="F47" s="2">
        <f t="shared" si="9"/>
        <v>3.1285706512867946E-4</v>
      </c>
      <c r="G47" s="17" t="s">
        <v>13</v>
      </c>
      <c r="H47" s="15">
        <f>SUM(B47:B51)</f>
        <v>333977</v>
      </c>
      <c r="I47" s="15">
        <f>SUM(C47:C51)</f>
        <v>39</v>
      </c>
      <c r="J47" s="15">
        <f t="shared" ref="J47" si="14">SUM(D47:D51)</f>
        <v>631</v>
      </c>
      <c r="K47" s="2">
        <f>1-J47/H47</f>
        <v>0.99811064833805918</v>
      </c>
      <c r="L47" s="2">
        <f t="shared" ref="L47" si="15">I47/H47</f>
        <v>1.1677450842423281E-4</v>
      </c>
    </row>
    <row r="48" spans="1:12">
      <c r="A48" s="5">
        <v>46</v>
      </c>
      <c r="B48" s="6">
        <v>71306</v>
      </c>
      <c r="C48" s="6">
        <v>7</v>
      </c>
      <c r="D48" s="6">
        <v>120</v>
      </c>
      <c r="E48" s="9">
        <f>1-D48/B48</f>
        <v>0.99831711216447427</v>
      </c>
      <c r="F48" s="9">
        <f t="shared" si="9"/>
        <v>9.8168457072336129E-5</v>
      </c>
    </row>
    <row r="49" spans="1:12">
      <c r="A49" s="5">
        <v>47</v>
      </c>
      <c r="B49" s="6">
        <v>64390</v>
      </c>
      <c r="C49" s="6">
        <v>4</v>
      </c>
      <c r="D49" s="6">
        <v>116</v>
      </c>
      <c r="E49" s="9">
        <f>1-D49/B49</f>
        <v>0.99819847802453798</v>
      </c>
      <c r="F49" s="9">
        <f t="shared" si="9"/>
        <v>6.2121447429725116E-5</v>
      </c>
    </row>
    <row r="50" spans="1:12">
      <c r="A50" s="5">
        <v>48</v>
      </c>
      <c r="B50" s="6">
        <v>62917</v>
      </c>
      <c r="C50" s="6">
        <v>4</v>
      </c>
      <c r="D50" s="6">
        <v>148</v>
      </c>
      <c r="E50" s="9">
        <f>1-D50/B50</f>
        <v>0.99764769458175051</v>
      </c>
      <c r="F50" s="9">
        <f t="shared" si="9"/>
        <v>6.3575822114849721E-5</v>
      </c>
    </row>
    <row r="51" spans="1:12">
      <c r="A51" s="5">
        <v>49</v>
      </c>
      <c r="B51" s="6">
        <v>61848</v>
      </c>
      <c r="C51" s="6">
        <v>1</v>
      </c>
      <c r="D51" s="6">
        <v>136</v>
      </c>
      <c r="E51" s="9">
        <f>1-D51/B51</f>
        <v>0.99780106066485574</v>
      </c>
      <c r="F51" s="9">
        <f t="shared" si="9"/>
        <v>1.6168671581942826E-5</v>
      </c>
    </row>
    <row r="52" spans="1:12" s="14" customFormat="1">
      <c r="A52" s="12">
        <v>50</v>
      </c>
      <c r="B52" s="13">
        <v>61189</v>
      </c>
      <c r="C52" s="13">
        <v>2</v>
      </c>
      <c r="D52" s="13">
        <v>154</v>
      </c>
      <c r="E52" s="2">
        <f>1-D52/B52</f>
        <v>0.99748320776610178</v>
      </c>
      <c r="F52" s="2">
        <f t="shared" si="9"/>
        <v>3.2685613427249998E-5</v>
      </c>
      <c r="G52" s="17" t="s">
        <v>14</v>
      </c>
      <c r="H52" s="15">
        <f>SUM(B52:B56)</f>
        <v>351237</v>
      </c>
      <c r="I52" s="15">
        <f>SUM(C52:C56)</f>
        <v>2</v>
      </c>
      <c r="J52" s="15">
        <f t="shared" ref="J52" si="16">SUM(D52:D56)</f>
        <v>1055</v>
      </c>
      <c r="K52" s="2">
        <f>1-J52/H52</f>
        <v>0.99699633011328537</v>
      </c>
      <c r="L52" s="2">
        <f t="shared" ref="L52" si="17">I52/H52</f>
        <v>5.6941609226818361E-6</v>
      </c>
    </row>
    <row r="53" spans="1:12">
      <c r="A53" s="5">
        <v>51</v>
      </c>
      <c r="B53" s="6">
        <v>67055</v>
      </c>
      <c r="C53" s="6">
        <v>0</v>
      </c>
      <c r="D53" s="6">
        <v>162</v>
      </c>
      <c r="E53" s="9">
        <f>1-D53/B53</f>
        <v>0.9975840727760793</v>
      </c>
      <c r="F53" s="9">
        <f t="shared" si="9"/>
        <v>0</v>
      </c>
    </row>
    <row r="54" spans="1:12">
      <c r="A54" s="5">
        <v>52</v>
      </c>
      <c r="B54" s="6">
        <v>72097</v>
      </c>
      <c r="C54" s="6">
        <v>0</v>
      </c>
      <c r="D54" s="6">
        <v>208</v>
      </c>
      <c r="E54" s="9">
        <f>1-D54/B54</f>
        <v>0.99711499785011859</v>
      </c>
      <c r="F54" s="9">
        <f t="shared" si="9"/>
        <v>0</v>
      </c>
    </row>
    <row r="55" spans="1:12">
      <c r="A55" s="5">
        <v>53</v>
      </c>
      <c r="B55" s="6">
        <v>75026</v>
      </c>
      <c r="C55" s="6">
        <v>0</v>
      </c>
      <c r="D55" s="6">
        <v>268</v>
      </c>
      <c r="E55" s="9">
        <f>1-D55/B55</f>
        <v>0.99642790499293576</v>
      </c>
      <c r="F55" s="9">
        <f t="shared" si="9"/>
        <v>0</v>
      </c>
    </row>
    <row r="56" spans="1:12">
      <c r="A56" s="5">
        <v>54</v>
      </c>
      <c r="B56" s="6">
        <v>75870</v>
      </c>
      <c r="C56" s="6">
        <v>0</v>
      </c>
      <c r="D56" s="6">
        <v>263</v>
      </c>
      <c r="E56" s="9">
        <f>1-D56/B56</f>
        <v>0.99653354422037699</v>
      </c>
      <c r="F56" s="9">
        <f t="shared" si="9"/>
        <v>0</v>
      </c>
    </row>
    <row r="57" spans="1:12" s="14" customFormat="1">
      <c r="A57" s="12">
        <v>55</v>
      </c>
      <c r="B57" s="13">
        <v>76598</v>
      </c>
      <c r="C57" s="13">
        <v>0</v>
      </c>
      <c r="D57" s="13">
        <v>295</v>
      </c>
      <c r="E57" s="2">
        <f>1-D57/B57</f>
        <v>0.99614872450977832</v>
      </c>
      <c r="F57" s="2">
        <f t="shared" si="9"/>
        <v>0</v>
      </c>
      <c r="G57" s="17" t="s">
        <v>15</v>
      </c>
      <c r="H57" s="15">
        <f>SUM(B57:B61)</f>
        <v>390758</v>
      </c>
      <c r="I57" s="15">
        <f>SUM(C57:C61)</f>
        <v>0</v>
      </c>
      <c r="J57" s="15">
        <f t="shared" ref="J57" si="18">SUM(D57:D61)</f>
        <v>1867</v>
      </c>
      <c r="K57" s="2">
        <f>1-J57/H57</f>
        <v>0.99522210677708456</v>
      </c>
      <c r="L57" s="2">
        <f t="shared" ref="L57" si="19">I57/H57</f>
        <v>0</v>
      </c>
    </row>
    <row r="58" spans="1:12">
      <c r="A58" s="5">
        <v>56</v>
      </c>
      <c r="B58" s="6">
        <v>77093</v>
      </c>
      <c r="C58" s="6">
        <v>0</v>
      </c>
      <c r="D58" s="6">
        <v>322</v>
      </c>
      <c r="E58" s="9">
        <f>1-D58/B58</f>
        <v>0.99582322649267763</v>
      </c>
      <c r="F58" s="9">
        <f t="shared" si="9"/>
        <v>0</v>
      </c>
    </row>
    <row r="59" spans="1:12">
      <c r="A59" s="5">
        <v>57</v>
      </c>
      <c r="B59" s="6">
        <v>78944</v>
      </c>
      <c r="C59" s="6">
        <v>0</v>
      </c>
      <c r="D59" s="6">
        <v>377</v>
      </c>
      <c r="E59" s="9">
        <f>1-D59/B59</f>
        <v>0.99522446291041755</v>
      </c>
      <c r="F59" s="9">
        <f t="shared" si="9"/>
        <v>0</v>
      </c>
    </row>
    <row r="60" spans="1:12">
      <c r="A60" s="5">
        <v>58</v>
      </c>
      <c r="B60" s="6">
        <v>79846</v>
      </c>
      <c r="C60" s="6">
        <v>0</v>
      </c>
      <c r="D60" s="6">
        <v>381</v>
      </c>
      <c r="E60" s="9">
        <f>1-D60/B60</f>
        <v>0.99522831450542293</v>
      </c>
      <c r="F60" s="9">
        <f t="shared" si="9"/>
        <v>0</v>
      </c>
    </row>
    <row r="61" spans="1:12">
      <c r="A61" s="5">
        <v>59</v>
      </c>
      <c r="B61" s="6">
        <v>78277</v>
      </c>
      <c r="C61" s="6">
        <v>0</v>
      </c>
      <c r="D61" s="6">
        <v>492</v>
      </c>
      <c r="E61" s="9">
        <f>1-D61/B61</f>
        <v>0.99371462881817141</v>
      </c>
      <c r="F61" s="9">
        <f t="shared" si="9"/>
        <v>0</v>
      </c>
    </row>
    <row r="62" spans="1:12" s="14" customFormat="1">
      <c r="A62" s="12">
        <v>60</v>
      </c>
      <c r="B62" s="13">
        <v>76393</v>
      </c>
      <c r="C62" s="13">
        <v>0</v>
      </c>
      <c r="D62" s="13">
        <v>498</v>
      </c>
      <c r="E62" s="2">
        <f>1-D62/B62</f>
        <v>0.99348107810925079</v>
      </c>
      <c r="F62" s="2">
        <f t="shared" si="9"/>
        <v>0</v>
      </c>
      <c r="G62" s="17" t="s">
        <v>16</v>
      </c>
      <c r="H62" s="15">
        <f>SUM(B62:B66)</f>
        <v>380115</v>
      </c>
      <c r="I62" s="15">
        <f>SUM(C62:C66)</f>
        <v>0</v>
      </c>
      <c r="J62" s="15">
        <f t="shared" ref="J62" si="20">SUM(D62:D66)</f>
        <v>2963</v>
      </c>
      <c r="K62" s="2">
        <f>1-J62/H62</f>
        <v>0.99220499059495149</v>
      </c>
      <c r="L62" s="2">
        <f t="shared" ref="L62" si="21">I62/H62</f>
        <v>0</v>
      </c>
    </row>
    <row r="63" spans="1:12">
      <c r="A63" s="5">
        <v>61</v>
      </c>
      <c r="B63" s="6">
        <v>78509</v>
      </c>
      <c r="C63" s="6">
        <v>0</v>
      </c>
      <c r="D63" s="6">
        <v>569</v>
      </c>
      <c r="E63" s="9">
        <f>1-D63/B63</f>
        <v>0.99275242328904967</v>
      </c>
      <c r="F63" s="9">
        <f t="shared" si="9"/>
        <v>0</v>
      </c>
    </row>
    <row r="64" spans="1:12">
      <c r="A64" s="5">
        <v>62</v>
      </c>
      <c r="B64" s="6">
        <v>81617</v>
      </c>
      <c r="C64" s="6">
        <v>0</v>
      </c>
      <c r="D64" s="6">
        <v>593</v>
      </c>
      <c r="E64" s="9">
        <f>1-D64/B64</f>
        <v>0.99273435681291888</v>
      </c>
      <c r="F64" s="9">
        <f t="shared" si="9"/>
        <v>0</v>
      </c>
    </row>
    <row r="65" spans="1:12">
      <c r="A65" s="5">
        <v>63</v>
      </c>
      <c r="B65" s="6">
        <v>79166</v>
      </c>
      <c r="C65" s="6">
        <v>0</v>
      </c>
      <c r="D65" s="6">
        <v>651</v>
      </c>
      <c r="E65" s="9">
        <f>1-D65/B65</f>
        <v>0.99177677285703458</v>
      </c>
      <c r="F65" s="9">
        <f t="shared" si="9"/>
        <v>0</v>
      </c>
    </row>
    <row r="66" spans="1:12">
      <c r="A66" s="5">
        <v>64</v>
      </c>
      <c r="B66" s="6">
        <v>64430</v>
      </c>
      <c r="C66" s="6">
        <v>0</v>
      </c>
      <c r="D66" s="6">
        <v>652</v>
      </c>
      <c r="E66" s="9">
        <f>1-D66/B66</f>
        <v>0.98988049045475712</v>
      </c>
      <c r="F66" s="9">
        <f t="shared" ref="F66:F102" si="22">C66/B66</f>
        <v>0</v>
      </c>
    </row>
    <row r="67" spans="1:12" s="14" customFormat="1">
      <c r="A67" s="12">
        <v>65</v>
      </c>
      <c r="B67" s="13">
        <v>66551</v>
      </c>
      <c r="C67" s="13">
        <v>0</v>
      </c>
      <c r="D67" s="13">
        <v>674</v>
      </c>
      <c r="E67" s="2">
        <f t="shared" ref="E67:E102" si="23">1-D67/B67</f>
        <v>0.9898724286637316</v>
      </c>
      <c r="F67" s="2">
        <f t="shared" si="22"/>
        <v>0</v>
      </c>
      <c r="G67" s="17" t="s">
        <v>17</v>
      </c>
      <c r="H67" s="15">
        <f>SUM(B67:B71)</f>
        <v>293910</v>
      </c>
      <c r="I67" s="15">
        <f>SUM(C67:C71)</f>
        <v>0</v>
      </c>
      <c r="J67" s="15">
        <f>SUM(D67:D71)</f>
        <v>3777</v>
      </c>
      <c r="K67" s="2">
        <f>1-J67/H67</f>
        <v>0.98714912728386239</v>
      </c>
      <c r="L67" s="2">
        <f t="shared" ref="L67" si="24">I67/H67</f>
        <v>0</v>
      </c>
    </row>
    <row r="68" spans="1:12">
      <c r="A68" s="5">
        <v>66</v>
      </c>
      <c r="B68" s="6">
        <v>64415</v>
      </c>
      <c r="C68" s="6">
        <v>0</v>
      </c>
      <c r="D68" s="6">
        <v>741</v>
      </c>
      <c r="E68" s="9">
        <f t="shared" si="23"/>
        <v>0.98849646821392534</v>
      </c>
      <c r="F68" s="9">
        <f t="shared" si="22"/>
        <v>0</v>
      </c>
    </row>
    <row r="69" spans="1:12">
      <c r="A69" s="5">
        <v>67</v>
      </c>
      <c r="B69" s="6">
        <v>56631</v>
      </c>
      <c r="C69" s="6">
        <v>0</v>
      </c>
      <c r="D69" s="6">
        <v>750</v>
      </c>
      <c r="E69" s="9">
        <f t="shared" si="23"/>
        <v>0.98675637018594053</v>
      </c>
      <c r="F69" s="9">
        <f t="shared" si="22"/>
        <v>0</v>
      </c>
    </row>
    <row r="70" spans="1:12">
      <c r="A70" s="5">
        <v>68</v>
      </c>
      <c r="B70" s="6">
        <v>54041</v>
      </c>
      <c r="C70" s="6">
        <v>0</v>
      </c>
      <c r="D70" s="6">
        <v>793</v>
      </c>
      <c r="E70" s="9">
        <f t="shared" si="23"/>
        <v>0.98532595621842678</v>
      </c>
      <c r="F70" s="9">
        <f t="shared" si="22"/>
        <v>0</v>
      </c>
    </row>
    <row r="71" spans="1:12">
      <c r="A71" s="5">
        <v>69</v>
      </c>
      <c r="B71" s="6">
        <v>52272</v>
      </c>
      <c r="C71" s="6">
        <v>0</v>
      </c>
      <c r="D71" s="6">
        <v>819</v>
      </c>
      <c r="E71" s="9">
        <f t="shared" si="23"/>
        <v>0.98433195592286504</v>
      </c>
      <c r="F71" s="9">
        <f t="shared" si="22"/>
        <v>0</v>
      </c>
    </row>
    <row r="72" spans="1:12" s="14" customFormat="1">
      <c r="A72" s="12">
        <v>70</v>
      </c>
      <c r="B72" s="13">
        <v>46472</v>
      </c>
      <c r="C72" s="13">
        <v>0</v>
      </c>
      <c r="D72" s="13">
        <v>878</v>
      </c>
      <c r="E72" s="2">
        <f t="shared" si="23"/>
        <v>0.98110690308142534</v>
      </c>
      <c r="F72" s="2">
        <f t="shared" si="22"/>
        <v>0</v>
      </c>
      <c r="G72" s="17" t="s">
        <v>18</v>
      </c>
      <c r="H72" s="15">
        <f>SUM(B72:B76)</f>
        <v>212293</v>
      </c>
      <c r="I72" s="15">
        <f>SUM(C72:C76)</f>
        <v>0</v>
      </c>
      <c r="J72" s="15">
        <f>SUM(D72:D76)</f>
        <v>4519</v>
      </c>
      <c r="K72" s="2">
        <f>1-J72/H72</f>
        <v>0.97871338197679625</v>
      </c>
      <c r="L72" s="2">
        <f t="shared" ref="L72" si="25">I72/H72</f>
        <v>0</v>
      </c>
    </row>
    <row r="73" spans="1:12">
      <c r="A73" s="5">
        <v>71</v>
      </c>
      <c r="B73" s="6">
        <v>44202</v>
      </c>
      <c r="C73" s="6">
        <v>0</v>
      </c>
      <c r="D73" s="6">
        <v>824</v>
      </c>
      <c r="E73" s="9">
        <f t="shared" si="23"/>
        <v>0.98135830957875214</v>
      </c>
      <c r="F73" s="9">
        <f t="shared" si="22"/>
        <v>0</v>
      </c>
    </row>
    <row r="74" spans="1:12">
      <c r="A74" s="5">
        <v>72</v>
      </c>
      <c r="B74" s="6">
        <v>41245</v>
      </c>
      <c r="C74" s="6">
        <v>0</v>
      </c>
      <c r="D74" s="6">
        <v>852</v>
      </c>
      <c r="E74" s="9">
        <f t="shared" si="23"/>
        <v>0.97934295066068611</v>
      </c>
      <c r="F74" s="9">
        <f t="shared" si="22"/>
        <v>0</v>
      </c>
    </row>
    <row r="75" spans="1:12">
      <c r="A75" s="5">
        <v>73</v>
      </c>
      <c r="B75" s="6">
        <v>40481</v>
      </c>
      <c r="C75" s="6">
        <v>0</v>
      </c>
      <c r="D75" s="6">
        <v>970</v>
      </c>
      <c r="E75" s="9">
        <f t="shared" si="23"/>
        <v>0.97603814135026312</v>
      </c>
      <c r="F75" s="9">
        <f t="shared" si="22"/>
        <v>0</v>
      </c>
    </row>
    <row r="76" spans="1:12">
      <c r="A76" s="5">
        <v>74</v>
      </c>
      <c r="B76" s="6">
        <v>39893</v>
      </c>
      <c r="C76" s="6">
        <v>0</v>
      </c>
      <c r="D76" s="6">
        <v>995</v>
      </c>
      <c r="E76" s="9">
        <f t="shared" si="23"/>
        <v>0.97505828090141122</v>
      </c>
      <c r="F76" s="9">
        <f t="shared" si="22"/>
        <v>0</v>
      </c>
    </row>
    <row r="77" spans="1:12" s="14" customFormat="1">
      <c r="A77" s="12">
        <v>75</v>
      </c>
      <c r="B77" s="13">
        <v>39764</v>
      </c>
      <c r="C77" s="13">
        <v>0</v>
      </c>
      <c r="D77" s="13">
        <v>1181</v>
      </c>
      <c r="E77" s="2">
        <f t="shared" si="23"/>
        <v>0.97029976863494616</v>
      </c>
      <c r="F77" s="2">
        <f t="shared" si="22"/>
        <v>0</v>
      </c>
      <c r="G77" s="17" t="s">
        <v>19</v>
      </c>
      <c r="H77" s="15">
        <f>SUM(B77:B81)</f>
        <v>196457</v>
      </c>
      <c r="I77" s="15">
        <f>SUM(C77:C81)</f>
        <v>0</v>
      </c>
      <c r="J77" s="15">
        <f>SUM(D77:D81)</f>
        <v>7438</v>
      </c>
      <c r="K77" s="2">
        <f>1-J77/H77</f>
        <v>0.96213929765801165</v>
      </c>
      <c r="L77" s="2">
        <f t="shared" ref="L77" si="26">I77/H77</f>
        <v>0</v>
      </c>
    </row>
    <row r="78" spans="1:12">
      <c r="A78" s="5">
        <v>76</v>
      </c>
      <c r="B78" s="6">
        <v>39233</v>
      </c>
      <c r="C78" s="6">
        <v>0</v>
      </c>
      <c r="D78" s="6">
        <v>1281</v>
      </c>
      <c r="E78" s="9">
        <f t="shared" si="23"/>
        <v>0.96734891545382717</v>
      </c>
      <c r="F78" s="9">
        <f t="shared" si="22"/>
        <v>0</v>
      </c>
    </row>
    <row r="79" spans="1:12">
      <c r="A79" s="5">
        <v>77</v>
      </c>
      <c r="B79" s="6">
        <v>40168</v>
      </c>
      <c r="C79" s="6">
        <v>0</v>
      </c>
      <c r="D79" s="6">
        <v>1460</v>
      </c>
      <c r="E79" s="9">
        <f t="shared" si="23"/>
        <v>0.96365265883290185</v>
      </c>
      <c r="F79" s="9">
        <f t="shared" si="22"/>
        <v>0</v>
      </c>
    </row>
    <row r="80" spans="1:12">
      <c r="A80" s="5">
        <v>78</v>
      </c>
      <c r="B80" s="6">
        <v>38959</v>
      </c>
      <c r="C80" s="6">
        <v>0</v>
      </c>
      <c r="D80" s="6">
        <v>1656</v>
      </c>
      <c r="E80" s="9">
        <f t="shared" si="23"/>
        <v>0.95749377550758485</v>
      </c>
      <c r="F80" s="9">
        <f t="shared" si="22"/>
        <v>0</v>
      </c>
    </row>
    <row r="81" spans="1:12">
      <c r="A81" s="5">
        <v>79</v>
      </c>
      <c r="B81" s="6">
        <v>38333</v>
      </c>
      <c r="C81" s="6">
        <v>0</v>
      </c>
      <c r="D81" s="6">
        <v>1860</v>
      </c>
      <c r="E81" s="9">
        <f t="shared" si="23"/>
        <v>0.95147783893772986</v>
      </c>
      <c r="F81" s="9">
        <f t="shared" si="22"/>
        <v>0</v>
      </c>
    </row>
    <row r="82" spans="1:12" s="14" customFormat="1">
      <c r="A82" s="12">
        <v>80</v>
      </c>
      <c r="B82" s="13">
        <v>34507</v>
      </c>
      <c r="C82" s="13">
        <v>0</v>
      </c>
      <c r="D82" s="13">
        <v>1988</v>
      </c>
      <c r="E82" s="2">
        <f t="shared" si="23"/>
        <v>0.9423885008838786</v>
      </c>
      <c r="F82" s="2">
        <f t="shared" si="22"/>
        <v>0</v>
      </c>
      <c r="G82" s="17" t="s">
        <v>20</v>
      </c>
      <c r="H82" s="15">
        <f>SUM(B82:B86)</f>
        <v>149630</v>
      </c>
      <c r="I82" s="15">
        <f>SUM(C82:C86)</f>
        <v>0</v>
      </c>
      <c r="J82" s="15">
        <f>SUM(D82:D86)</f>
        <v>11206</v>
      </c>
      <c r="K82" s="2">
        <f>1-J82/H82</f>
        <v>0.92510860121633365</v>
      </c>
      <c r="L82" s="2">
        <f t="shared" ref="L82" si="27">I82/H82</f>
        <v>0</v>
      </c>
    </row>
    <row r="83" spans="1:12">
      <c r="A83" s="5">
        <v>81</v>
      </c>
      <c r="B83" s="6">
        <v>32706</v>
      </c>
      <c r="C83" s="6">
        <v>0</v>
      </c>
      <c r="D83" s="6">
        <v>2112</v>
      </c>
      <c r="E83" s="9">
        <f t="shared" si="23"/>
        <v>0.93542469271693263</v>
      </c>
      <c r="F83" s="9">
        <f t="shared" si="22"/>
        <v>0</v>
      </c>
    </row>
    <row r="84" spans="1:12">
      <c r="A84" s="5">
        <v>82</v>
      </c>
      <c r="B84" s="6">
        <v>29766</v>
      </c>
      <c r="C84" s="6">
        <v>0</v>
      </c>
      <c r="D84" s="6">
        <v>2197</v>
      </c>
      <c r="E84" s="9">
        <f t="shared" si="23"/>
        <v>0.92619095612443725</v>
      </c>
      <c r="F84" s="9">
        <f t="shared" si="22"/>
        <v>0</v>
      </c>
    </row>
    <row r="85" spans="1:12">
      <c r="A85" s="5">
        <v>83</v>
      </c>
      <c r="B85" s="6">
        <v>27647</v>
      </c>
      <c r="C85" s="6">
        <v>0</v>
      </c>
      <c r="D85" s="6">
        <v>2423</v>
      </c>
      <c r="E85" s="9">
        <f t="shared" si="23"/>
        <v>0.91235938799869787</v>
      </c>
      <c r="F85" s="9">
        <f t="shared" si="22"/>
        <v>0</v>
      </c>
    </row>
    <row r="86" spans="1:12">
      <c r="A86" s="5">
        <v>84</v>
      </c>
      <c r="B86" s="6">
        <v>25004</v>
      </c>
      <c r="C86" s="6">
        <v>0</v>
      </c>
      <c r="D86" s="6">
        <v>2486</v>
      </c>
      <c r="E86" s="9">
        <f t="shared" si="23"/>
        <v>0.90057590785474328</v>
      </c>
      <c r="F86" s="9">
        <f t="shared" si="22"/>
        <v>0</v>
      </c>
    </row>
    <row r="87" spans="1:12" s="14" customFormat="1">
      <c r="A87" s="12">
        <v>85</v>
      </c>
      <c r="B87" s="13">
        <v>22954</v>
      </c>
      <c r="C87" s="13">
        <v>0</v>
      </c>
      <c r="D87" s="13">
        <v>2517</v>
      </c>
      <c r="E87" s="2">
        <f t="shared" si="23"/>
        <v>0.89034590920972378</v>
      </c>
      <c r="F87" s="2">
        <f t="shared" si="22"/>
        <v>0</v>
      </c>
      <c r="G87" s="17" t="s">
        <v>21</v>
      </c>
      <c r="H87" s="15">
        <f>SUM(B87:B91)</f>
        <v>84217</v>
      </c>
      <c r="I87" s="15">
        <f>SUM(C87:C91)</f>
        <v>0</v>
      </c>
      <c r="J87" s="15">
        <f>SUM(D87:D91)</f>
        <v>11963</v>
      </c>
      <c r="K87" s="2">
        <f>1-J87/H87</f>
        <v>0.85795029507106646</v>
      </c>
      <c r="L87" s="2">
        <f t="shared" ref="L87" si="28">I87/H87</f>
        <v>0</v>
      </c>
    </row>
    <row r="88" spans="1:12">
      <c r="A88" s="5">
        <v>86</v>
      </c>
      <c r="B88" s="6">
        <v>20203</v>
      </c>
      <c r="C88" s="6">
        <v>0</v>
      </c>
      <c r="D88" s="6">
        <v>2660</v>
      </c>
      <c r="E88" s="9">
        <f t="shared" si="23"/>
        <v>0.86833638568529425</v>
      </c>
      <c r="F88" s="9">
        <f t="shared" si="22"/>
        <v>0</v>
      </c>
    </row>
    <row r="89" spans="1:12">
      <c r="A89" s="5">
        <v>87</v>
      </c>
      <c r="B89" s="6">
        <v>17105</v>
      </c>
      <c r="C89" s="6">
        <v>0</v>
      </c>
      <c r="D89" s="6">
        <v>2464</v>
      </c>
      <c r="E89" s="9">
        <f t="shared" si="23"/>
        <v>0.85594855305466244</v>
      </c>
      <c r="F89" s="9">
        <f t="shared" si="22"/>
        <v>0</v>
      </c>
    </row>
    <row r="90" spans="1:12">
      <c r="A90" s="5">
        <v>88</v>
      </c>
      <c r="B90" s="6">
        <v>13928</v>
      </c>
      <c r="C90" s="6">
        <v>0</v>
      </c>
      <c r="D90" s="6">
        <v>2386</v>
      </c>
      <c r="E90" s="9">
        <f t="shared" si="23"/>
        <v>0.82869040781160253</v>
      </c>
      <c r="F90" s="9">
        <f t="shared" si="22"/>
        <v>0</v>
      </c>
    </row>
    <row r="91" spans="1:12">
      <c r="A91" s="5">
        <v>89</v>
      </c>
      <c r="B91" s="6">
        <v>10027</v>
      </c>
      <c r="C91" s="6">
        <v>0</v>
      </c>
      <c r="D91" s="6">
        <v>1936</v>
      </c>
      <c r="E91" s="9">
        <f t="shared" si="23"/>
        <v>0.80692131245636778</v>
      </c>
      <c r="F91" s="9">
        <f t="shared" si="22"/>
        <v>0</v>
      </c>
    </row>
    <row r="92" spans="1:12" s="14" customFormat="1">
      <c r="A92" s="12">
        <v>90</v>
      </c>
      <c r="B92" s="13">
        <v>6689</v>
      </c>
      <c r="C92" s="13">
        <v>0</v>
      </c>
      <c r="D92" s="13">
        <v>1641</v>
      </c>
      <c r="E92" s="2">
        <f t="shared" si="23"/>
        <v>0.75467184930482878</v>
      </c>
      <c r="F92" s="2">
        <f t="shared" si="22"/>
        <v>0</v>
      </c>
      <c r="G92" s="17" t="s">
        <v>22</v>
      </c>
      <c r="H92" s="15">
        <f>SUM(B92:B96)</f>
        <v>16110</v>
      </c>
      <c r="I92" s="15">
        <f>SUM(C92:C96)</f>
        <v>0</v>
      </c>
      <c r="J92" s="15">
        <f>SUM(D92:D96)</f>
        <v>4136</v>
      </c>
      <c r="K92" s="2">
        <f>1-J92/H92</f>
        <v>0.74326505276225951</v>
      </c>
      <c r="L92" s="2">
        <f t="shared" ref="L92" si="29">I92/H92</f>
        <v>0</v>
      </c>
    </row>
    <row r="93" spans="1:12">
      <c r="A93" s="5">
        <v>91</v>
      </c>
      <c r="B93" s="6">
        <v>3055</v>
      </c>
      <c r="C93" s="6">
        <v>0</v>
      </c>
      <c r="D93" s="6">
        <v>908</v>
      </c>
      <c r="E93" s="9">
        <f t="shared" si="23"/>
        <v>0.70278232405891983</v>
      </c>
      <c r="F93" s="9">
        <f t="shared" si="22"/>
        <v>0</v>
      </c>
    </row>
    <row r="94" spans="1:12">
      <c r="A94" s="5">
        <v>92</v>
      </c>
      <c r="B94" s="6">
        <v>2415</v>
      </c>
      <c r="C94" s="6">
        <v>0</v>
      </c>
      <c r="D94" s="6">
        <v>603</v>
      </c>
      <c r="E94" s="9">
        <f t="shared" si="23"/>
        <v>0.75031055900621113</v>
      </c>
      <c r="F94" s="9">
        <f t="shared" si="22"/>
        <v>0</v>
      </c>
    </row>
    <row r="95" spans="1:12">
      <c r="A95" s="5">
        <v>93</v>
      </c>
      <c r="B95" s="6">
        <v>2029</v>
      </c>
      <c r="C95" s="6">
        <v>0</v>
      </c>
      <c r="D95" s="6">
        <v>481</v>
      </c>
      <c r="E95" s="9">
        <f t="shared" si="23"/>
        <v>0.76293740758994577</v>
      </c>
      <c r="F95" s="9">
        <f t="shared" si="22"/>
        <v>0</v>
      </c>
    </row>
    <row r="96" spans="1:12">
      <c r="A96" s="5">
        <v>94</v>
      </c>
      <c r="B96" s="6">
        <v>1922</v>
      </c>
      <c r="C96" s="6">
        <v>0</v>
      </c>
      <c r="D96" s="6">
        <v>503</v>
      </c>
      <c r="E96" s="9">
        <f t="shared" si="23"/>
        <v>0.73829344432882416</v>
      </c>
      <c r="F96" s="9">
        <f t="shared" si="22"/>
        <v>0</v>
      </c>
    </row>
    <row r="97" spans="1:12" s="14" customFormat="1">
      <c r="A97" s="12">
        <v>95</v>
      </c>
      <c r="B97" s="13">
        <v>1929</v>
      </c>
      <c r="C97" s="13">
        <v>0</v>
      </c>
      <c r="D97" s="13">
        <v>577</v>
      </c>
      <c r="E97" s="2">
        <f t="shared" si="23"/>
        <v>0.70088128564022811</v>
      </c>
      <c r="F97" s="2">
        <f t="shared" si="22"/>
        <v>0</v>
      </c>
      <c r="G97" s="17" t="s">
        <v>23</v>
      </c>
      <c r="H97" s="15">
        <f>SUM(B97:B101)</f>
        <v>5079</v>
      </c>
      <c r="I97" s="15">
        <f>SUM(C97:C101)</f>
        <v>0</v>
      </c>
      <c r="J97" s="15">
        <f>SUM(D97:D101)</f>
        <v>1697</v>
      </c>
      <c r="K97" s="2">
        <f>1-J97/H97</f>
        <v>0.66587911006103562</v>
      </c>
      <c r="L97" s="2">
        <f t="shared" ref="L97" si="30">I97/H97</f>
        <v>0</v>
      </c>
    </row>
    <row r="98" spans="1:12">
      <c r="A98" s="5">
        <v>96</v>
      </c>
      <c r="B98" s="6">
        <v>1232</v>
      </c>
      <c r="C98" s="6">
        <v>0</v>
      </c>
      <c r="D98" s="6">
        <v>437</v>
      </c>
      <c r="E98" s="9">
        <f t="shared" si="23"/>
        <v>0.64529220779220786</v>
      </c>
      <c r="F98" s="9">
        <f t="shared" si="22"/>
        <v>0</v>
      </c>
    </row>
    <row r="99" spans="1:12">
      <c r="A99" s="5">
        <v>97</v>
      </c>
      <c r="B99" s="6">
        <v>926</v>
      </c>
      <c r="C99" s="6">
        <v>0</v>
      </c>
      <c r="D99" s="6">
        <v>295</v>
      </c>
      <c r="E99" s="9">
        <f t="shared" si="23"/>
        <v>0.68142548596112307</v>
      </c>
      <c r="F99" s="9">
        <f t="shared" si="22"/>
        <v>0</v>
      </c>
    </row>
    <row r="100" spans="1:12">
      <c r="A100" s="5">
        <v>98</v>
      </c>
      <c r="B100" s="6">
        <v>593</v>
      </c>
      <c r="C100" s="6">
        <v>0</v>
      </c>
      <c r="D100" s="6">
        <v>241</v>
      </c>
      <c r="E100" s="9">
        <f t="shared" si="23"/>
        <v>0.59359190556492414</v>
      </c>
      <c r="F100" s="9">
        <f t="shared" si="22"/>
        <v>0</v>
      </c>
    </row>
    <row r="101" spans="1:12">
      <c r="A101" s="5">
        <v>99</v>
      </c>
      <c r="B101" s="6">
        <v>399</v>
      </c>
      <c r="C101" s="6">
        <v>0</v>
      </c>
      <c r="D101" s="6">
        <v>147</v>
      </c>
      <c r="E101" s="9">
        <f t="shared" si="23"/>
        <v>0.63157894736842102</v>
      </c>
      <c r="F101" s="9">
        <f t="shared" si="22"/>
        <v>0</v>
      </c>
    </row>
    <row r="102" spans="1:12" s="24" customFormat="1" ht="14" thickBot="1">
      <c r="A102" s="19">
        <v>100</v>
      </c>
      <c r="B102" s="20">
        <v>563</v>
      </c>
      <c r="C102" s="20">
        <v>0</v>
      </c>
      <c r="D102" s="20">
        <v>103</v>
      </c>
      <c r="E102" s="21">
        <f t="shared" si="23"/>
        <v>0.81705150976909413</v>
      </c>
      <c r="F102" s="21">
        <f t="shared" si="22"/>
        <v>0</v>
      </c>
      <c r="G102" s="22"/>
      <c r="H102" s="23"/>
      <c r="I102" s="23"/>
      <c r="J102" s="23"/>
      <c r="K102" s="21"/>
      <c r="L102" s="21"/>
    </row>
  </sheetData>
  <phoneticPr fontId="3" type="noConversion"/>
  <printOptions horizontalCentered="1"/>
  <pageMargins left="0.78740157480314965" right="0.78740157480314965" top="0.78740157480314965" bottom="0.78740157480314965" header="0.78740157480314965" footer="0.59055118110236227"/>
  <pageSetup paperSize="9" scale="85" firstPageNumber="292" orientation="portrait" useFirstPageNumber="1"/>
  <headerFooter alignWithMargins="0"/>
  <rowBreaks count="1" manualBreakCount="1">
    <brk id="52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Němečková</dc:creator>
  <cp:lastModifiedBy>Václav Petrák</cp:lastModifiedBy>
  <cp:lastPrinted>2011-09-26T08:51:08Z</cp:lastPrinted>
  <dcterms:created xsi:type="dcterms:W3CDTF">2002-01-16T10:33:11Z</dcterms:created>
  <dcterms:modified xsi:type="dcterms:W3CDTF">2025-06-29T06:27:55Z</dcterms:modified>
</cp:coreProperties>
</file>