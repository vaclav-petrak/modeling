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thusian Model" sheetId="1" r:id="rId1"/>
    <sheet name="Logistic Model" sheetId="2" r:id="rId2"/>
  </sheets>
  <calcPr calcId="124519" fullCalcOnLoad="1"/>
</workbook>
</file>

<file path=xl/sharedStrings.xml><?xml version="1.0" encoding="utf-8"?>
<sst xmlns="http://schemas.openxmlformats.org/spreadsheetml/2006/main" count="17" uniqueCount="9">
  <si>
    <t>Parameters</t>
  </si>
  <si>
    <t>Value</t>
  </si>
  <si>
    <t>P0 (Initial Pop)</t>
  </si>
  <si>
    <t>r (Growth Rate)</t>
  </si>
  <si>
    <t>dt (Time Step)</t>
  </si>
  <si>
    <t>Time (t)</t>
  </si>
  <si>
    <t>Explicit Formula</t>
  </si>
  <si>
    <t>Euler Method</t>
  </si>
  <si>
    <t>K (Carrying Capacity)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</si>
</sst>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Malthusian Exponential Growth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'Malthusian Model'!$B$2</c:f>
              <c:strCache>
                <c:ptCount val="1"/>
                <c:pt idx="0">
                  <c:v>Explicit Formula</c:v>
                </c:pt>
              </c:strCache>
            </c:strRef>
          </c:tx>
          <c:spPr>
            <a:ln w="31750">
              <a:solidFill>
                <a:srgbClr val="4F81BD"/>
              </a:solidFill>
            </a:ln>
          </c:spPr>
          <c:marker>
            <c:symbol val="none"/>
          </c:marker>
          <c:xVal>
            <c:numRef>
              <c:f>'Malthusian Model'!$A$3:$A$102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'Malthusian Model'!$B$3:$B$102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</c:ser>
        <c:ser>
          <c:idx val="1"/>
          <c:order val="1"/>
          <c:tx>
            <c:strRef>
              <c:f>'Malthusian Model'!$C$2</c:f>
              <c:strCache>
                <c:ptCount val="1"/>
                <c:pt idx="0">
                  <c:v>Euler Method</c:v>
                </c:pt>
              </c:strCache>
            </c:strRef>
          </c:tx>
          <c:spPr>
            <a:ln w="31750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'Malthusian Model'!$A$3:$A$102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'Malthusian Model'!$C$3:$C$102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(t)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 (P)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Logistic Growth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'Logistic Model'!$B$2</c:f>
              <c:strCache>
                <c:ptCount val="1"/>
                <c:pt idx="0">
                  <c:v>Explicit Formula</c:v>
                </c:pt>
              </c:strCache>
            </c:strRef>
          </c:tx>
          <c:spPr>
            <a:ln w="31750">
              <a:solidFill>
                <a:srgbClr val="4F81BD"/>
              </a:solidFill>
            </a:ln>
          </c:spPr>
          <c:marker>
            <c:symbol val="none"/>
          </c:marker>
          <c:xVal>
            <c:numRef>
              <c:f>'Logistic Model'!$A$3:$A$102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'Logistic Model'!$B$3:$B$102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</c:ser>
        <c:ser>
          <c:idx val="1"/>
          <c:order val="1"/>
          <c:tx>
            <c:strRef>
              <c:f>'Logistic Model'!$C$2</c:f>
              <c:strCache>
                <c:ptCount val="1"/>
                <c:pt idx="0">
                  <c:v>Euler Method</c:v>
                </c:pt>
              </c:strCache>
            </c:strRef>
          </c:tx>
          <c:spPr>
            <a:ln w="31750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'Logistic Model'!$A$3:$A$102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'Logistic Model'!$C$3:$C$102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(t)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 (P)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13</xdr:col>
      <xdr:colOff>314325</xdr:colOff>
      <xdr:row>23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13</xdr:col>
      <xdr:colOff>314325</xdr:colOff>
      <xdr:row>24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02"/>
  <sheetViews>
    <sheetView showGridLines="0" tabSelected="1" workbookViewId="0"/>
  </sheetViews>
  <sheetFormatPr defaultRowHeight="15"/>
  <cols>
    <col min="1" max="3" width="20.7109375" customWidth="1"/>
    <col min="6" max="6" width="20.7109375" customWidth="1"/>
    <col min="7" max="7" width="15.7109375" customWidth="1"/>
  </cols>
  <sheetData>
    <row r="2" spans="1:7">
      <c r="A2" s="1" t="s">
        <v>5</v>
      </c>
      <c r="B2" s="1" t="s">
        <v>6</v>
      </c>
      <c r="C2" s="1" t="s">
        <v>7</v>
      </c>
      <c r="F2" s="1" t="s">
        <v>0</v>
      </c>
      <c r="G2" s="1" t="s">
        <v>1</v>
      </c>
    </row>
    <row r="3" spans="1:7">
      <c r="A3" s="2">
        <v>0</v>
      </c>
      <c r="B3" s="2">
        <f>$G$3</f>
        <v>0</v>
      </c>
      <c r="C3" s="2">
        <f>$G$3</f>
        <v>0</v>
      </c>
      <c r="F3" s="3" t="s">
        <v>2</v>
      </c>
      <c r="G3" s="4">
        <v>10</v>
      </c>
    </row>
    <row r="4" spans="1:7">
      <c r="A4" s="5">
        <f>A3 + $G$5</f>
        <v>0</v>
      </c>
      <c r="B4" s="5">
        <f>$G$3 * EXP($G$4 * A4)</f>
        <v>0</v>
      </c>
      <c r="C4" s="5">
        <f>C3 + $G$4 * C3 * $G$5</f>
        <v>0</v>
      </c>
      <c r="F4" s="3" t="s">
        <v>3</v>
      </c>
      <c r="G4" s="4">
        <v>0.1</v>
      </c>
    </row>
    <row r="5" spans="1:7">
      <c r="A5" s="2">
        <f>A4 + $G$5</f>
        <v>0</v>
      </c>
      <c r="B5" s="2">
        <f>$G$3 * EXP($G$4 * A5)</f>
        <v>0</v>
      </c>
      <c r="C5" s="2">
        <f>C4 + $G$4 * C4 * $G$5</f>
        <v>0</v>
      </c>
      <c r="F5" s="3" t="s">
        <v>4</v>
      </c>
      <c r="G5" s="4">
        <v>1</v>
      </c>
    </row>
    <row r="6" spans="1:7">
      <c r="A6" s="5">
        <f>A5 + $G$5</f>
        <v>0</v>
      </c>
      <c r="B6" s="5">
        <f>$G$3 * EXP($G$4 * A6)</f>
        <v>0</v>
      </c>
      <c r="C6" s="5">
        <f>C5 + $G$4 * C5 * $G$5</f>
        <v>0</v>
      </c>
    </row>
    <row r="7" spans="1:7">
      <c r="A7" s="2">
        <f>A6 + $G$5</f>
        <v>0</v>
      </c>
      <c r="B7" s="2">
        <f>$G$3 * EXP($G$4 * A7)</f>
        <v>0</v>
      </c>
      <c r="C7" s="2">
        <f>C6 + $G$4 * C6 * $G$5</f>
        <v>0</v>
      </c>
    </row>
    <row r="8" spans="1:7">
      <c r="A8" s="5">
        <f>A7 + $G$5</f>
        <v>0</v>
      </c>
      <c r="B8" s="5">
        <f>$G$3 * EXP($G$4 * A8)</f>
        <v>0</v>
      </c>
      <c r="C8" s="5">
        <f>C7 + $G$4 * C7 * $G$5</f>
        <v>0</v>
      </c>
    </row>
    <row r="9" spans="1:7">
      <c r="A9" s="2">
        <f>A8 + $G$5</f>
        <v>0</v>
      </c>
      <c r="B9" s="2">
        <f>$G$3 * EXP($G$4 * A9)</f>
        <v>0</v>
      </c>
      <c r="C9" s="2">
        <f>C8 + $G$4 * C8 * $G$5</f>
        <v>0</v>
      </c>
    </row>
    <row r="10" spans="1:7">
      <c r="A10" s="5">
        <f>A9 + $G$5</f>
        <v>0</v>
      </c>
      <c r="B10" s="5">
        <f>$G$3 * EXP($G$4 * A10)</f>
        <v>0</v>
      </c>
      <c r="C10" s="5">
        <f>C9 + $G$4 * C9 * $G$5</f>
        <v>0</v>
      </c>
    </row>
    <row r="11" spans="1:7">
      <c r="A11" s="2">
        <f>A10 + $G$5</f>
        <v>0</v>
      </c>
      <c r="B11" s="2">
        <f>$G$3 * EXP($G$4 * A11)</f>
        <v>0</v>
      </c>
      <c r="C11" s="2">
        <f>C10 + $G$4 * C10 * $G$5</f>
        <v>0</v>
      </c>
    </row>
    <row r="12" spans="1:7">
      <c r="A12" s="5">
        <f>A11 + $G$5</f>
        <v>0</v>
      </c>
      <c r="B12" s="5">
        <f>$G$3 * EXP($G$4 * A12)</f>
        <v>0</v>
      </c>
      <c r="C12" s="5">
        <f>C11 + $G$4 * C11 * $G$5</f>
        <v>0</v>
      </c>
    </row>
    <row r="13" spans="1:7">
      <c r="A13" s="2">
        <f>A12 + $G$5</f>
        <v>0</v>
      </c>
      <c r="B13" s="2">
        <f>$G$3 * EXP($G$4 * A13)</f>
        <v>0</v>
      </c>
      <c r="C13" s="2">
        <f>C12 + $G$4 * C12 * $G$5</f>
        <v>0</v>
      </c>
    </row>
    <row r="14" spans="1:7">
      <c r="A14" s="5">
        <f>A13 + $G$5</f>
        <v>0</v>
      </c>
      <c r="B14" s="5">
        <f>$G$3 * EXP($G$4 * A14)</f>
        <v>0</v>
      </c>
      <c r="C14" s="5">
        <f>C13 + $G$4 * C13 * $G$5</f>
        <v>0</v>
      </c>
    </row>
    <row r="15" spans="1:7">
      <c r="A15" s="2">
        <f>A14 + $G$5</f>
        <v>0</v>
      </c>
      <c r="B15" s="2">
        <f>$G$3 * EXP($G$4 * A15)</f>
        <v>0</v>
      </c>
      <c r="C15" s="2">
        <f>C14 + $G$4 * C14 * $G$5</f>
        <v>0</v>
      </c>
    </row>
    <row r="16" spans="1:7">
      <c r="A16" s="5">
        <f>A15 + $G$5</f>
        <v>0</v>
      </c>
      <c r="B16" s="5">
        <f>$G$3 * EXP($G$4 * A16)</f>
        <v>0</v>
      </c>
      <c r="C16" s="5">
        <f>C15 + $G$4 * C15 * $G$5</f>
        <v>0</v>
      </c>
    </row>
    <row r="17" spans="1:3">
      <c r="A17" s="2">
        <f>A16 + $G$5</f>
        <v>0</v>
      </c>
      <c r="B17" s="2">
        <f>$G$3 * EXP($G$4 * A17)</f>
        <v>0</v>
      </c>
      <c r="C17" s="2">
        <f>C16 + $G$4 * C16 * $G$5</f>
        <v>0</v>
      </c>
    </row>
    <row r="18" spans="1:3">
      <c r="A18" s="5">
        <f>A17 + $G$5</f>
        <v>0</v>
      </c>
      <c r="B18" s="5">
        <f>$G$3 * EXP($G$4 * A18)</f>
        <v>0</v>
      </c>
      <c r="C18" s="5">
        <f>C17 + $G$4 * C17 * $G$5</f>
        <v>0</v>
      </c>
    </row>
    <row r="19" spans="1:3">
      <c r="A19" s="2">
        <f>A18 + $G$5</f>
        <v>0</v>
      </c>
      <c r="B19" s="2">
        <f>$G$3 * EXP($G$4 * A19)</f>
        <v>0</v>
      </c>
      <c r="C19" s="2">
        <f>C18 + $G$4 * C18 * $G$5</f>
        <v>0</v>
      </c>
    </row>
    <row r="20" spans="1:3">
      <c r="A20" s="5">
        <f>A19 + $G$5</f>
        <v>0</v>
      </c>
      <c r="B20" s="5">
        <f>$G$3 * EXP($G$4 * A20)</f>
        <v>0</v>
      </c>
      <c r="C20" s="5">
        <f>C19 + $G$4 * C19 * $G$5</f>
        <v>0</v>
      </c>
    </row>
    <row r="21" spans="1:3">
      <c r="A21" s="2">
        <f>A20 + $G$5</f>
        <v>0</v>
      </c>
      <c r="B21" s="2">
        <f>$G$3 * EXP($G$4 * A21)</f>
        <v>0</v>
      </c>
      <c r="C21" s="2">
        <f>C20 + $G$4 * C20 * $G$5</f>
        <v>0</v>
      </c>
    </row>
    <row r="22" spans="1:3">
      <c r="A22" s="5">
        <f>A21 + $G$5</f>
        <v>0</v>
      </c>
      <c r="B22" s="5">
        <f>$G$3 * EXP($G$4 * A22)</f>
        <v>0</v>
      </c>
      <c r="C22" s="5">
        <f>C21 + $G$4 * C21 * $G$5</f>
        <v>0</v>
      </c>
    </row>
    <row r="23" spans="1:3">
      <c r="A23" s="2">
        <f>A22 + $G$5</f>
        <v>0</v>
      </c>
      <c r="B23" s="2">
        <f>$G$3 * EXP($G$4 * A23)</f>
        <v>0</v>
      </c>
      <c r="C23" s="2">
        <f>C22 + $G$4 * C22 * $G$5</f>
        <v>0</v>
      </c>
    </row>
    <row r="24" spans="1:3">
      <c r="A24" s="5">
        <f>A23 + $G$5</f>
        <v>0</v>
      </c>
      <c r="B24" s="5">
        <f>$G$3 * EXP($G$4 * A24)</f>
        <v>0</v>
      </c>
      <c r="C24" s="5">
        <f>C23 + $G$4 * C23 * $G$5</f>
        <v>0</v>
      </c>
    </row>
    <row r="25" spans="1:3">
      <c r="A25" s="2">
        <f>A24 + $G$5</f>
        <v>0</v>
      </c>
      <c r="B25" s="2">
        <f>$G$3 * EXP($G$4 * A25)</f>
        <v>0</v>
      </c>
      <c r="C25" s="2">
        <f>C24 + $G$4 * C24 * $G$5</f>
        <v>0</v>
      </c>
    </row>
    <row r="26" spans="1:3">
      <c r="A26" s="5">
        <f>A25 + $G$5</f>
        <v>0</v>
      </c>
      <c r="B26" s="5">
        <f>$G$3 * EXP($G$4 * A26)</f>
        <v>0</v>
      </c>
      <c r="C26" s="5">
        <f>C25 + $G$4 * C25 * $G$5</f>
        <v>0</v>
      </c>
    </row>
    <row r="27" spans="1:3">
      <c r="A27" s="2">
        <f>A26 + $G$5</f>
        <v>0</v>
      </c>
      <c r="B27" s="2">
        <f>$G$3 * EXP($G$4 * A27)</f>
        <v>0</v>
      </c>
      <c r="C27" s="2">
        <f>C26 + $G$4 * C26 * $G$5</f>
        <v>0</v>
      </c>
    </row>
    <row r="28" spans="1:3">
      <c r="A28" s="5">
        <f>A27 + $G$5</f>
        <v>0</v>
      </c>
      <c r="B28" s="5">
        <f>$G$3 * EXP($G$4 * A28)</f>
        <v>0</v>
      </c>
      <c r="C28" s="5">
        <f>C27 + $G$4 * C27 * $G$5</f>
        <v>0</v>
      </c>
    </row>
    <row r="29" spans="1:3">
      <c r="A29" s="2">
        <f>A28 + $G$5</f>
        <v>0</v>
      </c>
      <c r="B29" s="2">
        <f>$G$3 * EXP($G$4 * A29)</f>
        <v>0</v>
      </c>
      <c r="C29" s="2">
        <f>C28 + $G$4 * C28 * $G$5</f>
        <v>0</v>
      </c>
    </row>
    <row r="30" spans="1:3">
      <c r="A30" s="5">
        <f>A29 + $G$5</f>
        <v>0</v>
      </c>
      <c r="B30" s="5">
        <f>$G$3 * EXP($G$4 * A30)</f>
        <v>0</v>
      </c>
      <c r="C30" s="5">
        <f>C29 + $G$4 * C29 * $G$5</f>
        <v>0</v>
      </c>
    </row>
    <row r="31" spans="1:3">
      <c r="A31" s="2">
        <f>A30 + $G$5</f>
        <v>0</v>
      </c>
      <c r="B31" s="2">
        <f>$G$3 * EXP($G$4 * A31)</f>
        <v>0</v>
      </c>
      <c r="C31" s="2">
        <f>C30 + $G$4 * C30 * $G$5</f>
        <v>0</v>
      </c>
    </row>
    <row r="32" spans="1:3">
      <c r="A32" s="5">
        <f>A31 + $G$5</f>
        <v>0</v>
      </c>
      <c r="B32" s="5">
        <f>$G$3 * EXP($G$4 * A32)</f>
        <v>0</v>
      </c>
      <c r="C32" s="5">
        <f>C31 + $G$4 * C31 * $G$5</f>
        <v>0</v>
      </c>
    </row>
    <row r="33" spans="1:3">
      <c r="A33" s="2">
        <f>A32 + $G$5</f>
        <v>0</v>
      </c>
      <c r="B33" s="2">
        <f>$G$3 * EXP($G$4 * A33)</f>
        <v>0</v>
      </c>
      <c r="C33" s="2">
        <f>C32 + $G$4 * C32 * $G$5</f>
        <v>0</v>
      </c>
    </row>
    <row r="34" spans="1:3">
      <c r="A34" s="5">
        <f>A33 + $G$5</f>
        <v>0</v>
      </c>
      <c r="B34" s="5">
        <f>$G$3 * EXP($G$4 * A34)</f>
        <v>0</v>
      </c>
      <c r="C34" s="5">
        <f>C33 + $G$4 * C33 * $G$5</f>
        <v>0</v>
      </c>
    </row>
    <row r="35" spans="1:3">
      <c r="A35" s="2">
        <f>A34 + $G$5</f>
        <v>0</v>
      </c>
      <c r="B35" s="2">
        <f>$G$3 * EXP($G$4 * A35)</f>
        <v>0</v>
      </c>
      <c r="C35" s="2">
        <f>C34 + $G$4 * C34 * $G$5</f>
        <v>0</v>
      </c>
    </row>
    <row r="36" spans="1:3">
      <c r="A36" s="5">
        <f>A35 + $G$5</f>
        <v>0</v>
      </c>
      <c r="B36" s="5">
        <f>$G$3 * EXP($G$4 * A36)</f>
        <v>0</v>
      </c>
      <c r="C36" s="5">
        <f>C35 + $G$4 * C35 * $G$5</f>
        <v>0</v>
      </c>
    </row>
    <row r="37" spans="1:3">
      <c r="A37" s="2">
        <f>A36 + $G$5</f>
        <v>0</v>
      </c>
      <c r="B37" s="2">
        <f>$G$3 * EXP($G$4 * A37)</f>
        <v>0</v>
      </c>
      <c r="C37" s="2">
        <f>C36 + $G$4 * C36 * $G$5</f>
        <v>0</v>
      </c>
    </row>
    <row r="38" spans="1:3">
      <c r="A38" s="5">
        <f>A37 + $G$5</f>
        <v>0</v>
      </c>
      <c r="B38" s="5">
        <f>$G$3 * EXP($G$4 * A38)</f>
        <v>0</v>
      </c>
      <c r="C38" s="5">
        <f>C37 + $G$4 * C37 * $G$5</f>
        <v>0</v>
      </c>
    </row>
    <row r="39" spans="1:3">
      <c r="A39" s="2">
        <f>A38 + $G$5</f>
        <v>0</v>
      </c>
      <c r="B39" s="2">
        <f>$G$3 * EXP($G$4 * A39)</f>
        <v>0</v>
      </c>
      <c r="C39" s="2">
        <f>C38 + $G$4 * C38 * $G$5</f>
        <v>0</v>
      </c>
    </row>
    <row r="40" spans="1:3">
      <c r="A40" s="5">
        <f>A39 + $G$5</f>
        <v>0</v>
      </c>
      <c r="B40" s="5">
        <f>$G$3 * EXP($G$4 * A40)</f>
        <v>0</v>
      </c>
      <c r="C40" s="5">
        <f>C39 + $G$4 * C39 * $G$5</f>
        <v>0</v>
      </c>
    </row>
    <row r="41" spans="1:3">
      <c r="A41" s="2">
        <f>A40 + $G$5</f>
        <v>0</v>
      </c>
      <c r="B41" s="2">
        <f>$G$3 * EXP($G$4 * A41)</f>
        <v>0</v>
      </c>
      <c r="C41" s="2">
        <f>C40 + $G$4 * C40 * $G$5</f>
        <v>0</v>
      </c>
    </row>
    <row r="42" spans="1:3">
      <c r="A42" s="5">
        <f>A41 + $G$5</f>
        <v>0</v>
      </c>
      <c r="B42" s="5">
        <f>$G$3 * EXP($G$4 * A42)</f>
        <v>0</v>
      </c>
      <c r="C42" s="5">
        <f>C41 + $G$4 * C41 * $G$5</f>
        <v>0</v>
      </c>
    </row>
    <row r="43" spans="1:3">
      <c r="A43" s="2">
        <f>A42 + $G$5</f>
        <v>0</v>
      </c>
      <c r="B43" s="2">
        <f>$G$3 * EXP($G$4 * A43)</f>
        <v>0</v>
      </c>
      <c r="C43" s="2">
        <f>C42 + $G$4 * C42 * $G$5</f>
        <v>0</v>
      </c>
    </row>
    <row r="44" spans="1:3">
      <c r="A44" s="5">
        <f>A43 + $G$5</f>
        <v>0</v>
      </c>
      <c r="B44" s="5">
        <f>$G$3 * EXP($G$4 * A44)</f>
        <v>0</v>
      </c>
      <c r="C44" s="5">
        <f>C43 + $G$4 * C43 * $G$5</f>
        <v>0</v>
      </c>
    </row>
    <row r="45" spans="1:3">
      <c r="A45" s="2">
        <f>A44 + $G$5</f>
        <v>0</v>
      </c>
      <c r="B45" s="2">
        <f>$G$3 * EXP($G$4 * A45)</f>
        <v>0</v>
      </c>
      <c r="C45" s="2">
        <f>C44 + $G$4 * C44 * $G$5</f>
        <v>0</v>
      </c>
    </row>
    <row r="46" spans="1:3">
      <c r="A46" s="5">
        <f>A45 + $G$5</f>
        <v>0</v>
      </c>
      <c r="B46" s="5">
        <f>$G$3 * EXP($G$4 * A46)</f>
        <v>0</v>
      </c>
      <c r="C46" s="5">
        <f>C45 + $G$4 * C45 * $G$5</f>
        <v>0</v>
      </c>
    </row>
    <row r="47" spans="1:3">
      <c r="A47" s="2">
        <f>A46 + $G$5</f>
        <v>0</v>
      </c>
      <c r="B47" s="2">
        <f>$G$3 * EXP($G$4 * A47)</f>
        <v>0</v>
      </c>
      <c r="C47" s="2">
        <f>C46 + $G$4 * C46 * $G$5</f>
        <v>0</v>
      </c>
    </row>
    <row r="48" spans="1:3">
      <c r="A48" s="5">
        <f>A47 + $G$5</f>
        <v>0</v>
      </c>
      <c r="B48" s="5">
        <f>$G$3 * EXP($G$4 * A48)</f>
        <v>0</v>
      </c>
      <c r="C48" s="5">
        <f>C47 + $G$4 * C47 * $G$5</f>
        <v>0</v>
      </c>
    </row>
    <row r="49" spans="1:3">
      <c r="A49" s="2">
        <f>A48 + $G$5</f>
        <v>0</v>
      </c>
      <c r="B49" s="2">
        <f>$G$3 * EXP($G$4 * A49)</f>
        <v>0</v>
      </c>
      <c r="C49" s="2">
        <f>C48 + $G$4 * C48 * $G$5</f>
        <v>0</v>
      </c>
    </row>
    <row r="50" spans="1:3">
      <c r="A50" s="5">
        <f>A49 + $G$5</f>
        <v>0</v>
      </c>
      <c r="B50" s="5">
        <f>$G$3 * EXP($G$4 * A50)</f>
        <v>0</v>
      </c>
      <c r="C50" s="5">
        <f>C49 + $G$4 * C49 * $G$5</f>
        <v>0</v>
      </c>
    </row>
    <row r="51" spans="1:3">
      <c r="A51" s="2">
        <f>A50 + $G$5</f>
        <v>0</v>
      </c>
      <c r="B51" s="2">
        <f>$G$3 * EXP($G$4 * A51)</f>
        <v>0</v>
      </c>
      <c r="C51" s="2">
        <f>C50 + $G$4 * C50 * $G$5</f>
        <v>0</v>
      </c>
    </row>
    <row r="52" spans="1:3">
      <c r="A52" s="5">
        <f>A51 + $G$5</f>
        <v>0</v>
      </c>
      <c r="B52" s="5">
        <f>$G$3 * EXP($G$4 * A52)</f>
        <v>0</v>
      </c>
      <c r="C52" s="5">
        <f>C51 + $G$4 * C51 * $G$5</f>
        <v>0</v>
      </c>
    </row>
    <row r="53" spans="1:3">
      <c r="A53" s="2">
        <f>A52 + $G$5</f>
        <v>0</v>
      </c>
      <c r="B53" s="2">
        <f>$G$3 * EXP($G$4 * A53)</f>
        <v>0</v>
      </c>
      <c r="C53" s="2">
        <f>C52 + $G$4 * C52 * $G$5</f>
        <v>0</v>
      </c>
    </row>
    <row r="54" spans="1:3">
      <c r="A54" s="5">
        <f>A53 + $G$5</f>
        <v>0</v>
      </c>
      <c r="B54" s="5">
        <f>$G$3 * EXP($G$4 * A54)</f>
        <v>0</v>
      </c>
      <c r="C54" s="5">
        <f>C53 + $G$4 * C53 * $G$5</f>
        <v>0</v>
      </c>
    </row>
    <row r="55" spans="1:3">
      <c r="A55" s="2">
        <f>A54 + $G$5</f>
        <v>0</v>
      </c>
      <c r="B55" s="2">
        <f>$G$3 * EXP($G$4 * A55)</f>
        <v>0</v>
      </c>
      <c r="C55" s="2">
        <f>C54 + $G$4 * C54 * $G$5</f>
        <v>0</v>
      </c>
    </row>
    <row r="56" spans="1:3">
      <c r="A56" s="5">
        <f>A55 + $G$5</f>
        <v>0</v>
      </c>
      <c r="B56" s="5">
        <f>$G$3 * EXP($G$4 * A56)</f>
        <v>0</v>
      </c>
      <c r="C56" s="5">
        <f>C55 + $G$4 * C55 * $G$5</f>
        <v>0</v>
      </c>
    </row>
    <row r="57" spans="1:3">
      <c r="A57" s="2">
        <f>A56 + $G$5</f>
        <v>0</v>
      </c>
      <c r="B57" s="2">
        <f>$G$3 * EXP($G$4 * A57)</f>
        <v>0</v>
      </c>
      <c r="C57" s="2">
        <f>C56 + $G$4 * C56 * $G$5</f>
        <v>0</v>
      </c>
    </row>
    <row r="58" spans="1:3">
      <c r="A58" s="5">
        <f>A57 + $G$5</f>
        <v>0</v>
      </c>
      <c r="B58" s="5">
        <f>$G$3 * EXP($G$4 * A58)</f>
        <v>0</v>
      </c>
      <c r="C58" s="5">
        <f>C57 + $G$4 * C57 * $G$5</f>
        <v>0</v>
      </c>
    </row>
    <row r="59" spans="1:3">
      <c r="A59" s="2">
        <f>A58 + $G$5</f>
        <v>0</v>
      </c>
      <c r="B59" s="2">
        <f>$G$3 * EXP($G$4 * A59)</f>
        <v>0</v>
      </c>
      <c r="C59" s="2">
        <f>C58 + $G$4 * C58 * $G$5</f>
        <v>0</v>
      </c>
    </row>
    <row r="60" spans="1:3">
      <c r="A60" s="5">
        <f>A59 + $G$5</f>
        <v>0</v>
      </c>
      <c r="B60" s="5">
        <f>$G$3 * EXP($G$4 * A60)</f>
        <v>0</v>
      </c>
      <c r="C60" s="5">
        <f>C59 + $G$4 * C59 * $G$5</f>
        <v>0</v>
      </c>
    </row>
    <row r="61" spans="1:3">
      <c r="A61" s="2">
        <f>A60 + $G$5</f>
        <v>0</v>
      </c>
      <c r="B61" s="2">
        <f>$G$3 * EXP($G$4 * A61)</f>
        <v>0</v>
      </c>
      <c r="C61" s="2">
        <f>C60 + $G$4 * C60 * $G$5</f>
        <v>0</v>
      </c>
    </row>
    <row r="62" spans="1:3">
      <c r="A62" s="5">
        <f>A61 + $G$5</f>
        <v>0</v>
      </c>
      <c r="B62" s="5">
        <f>$G$3 * EXP($G$4 * A62)</f>
        <v>0</v>
      </c>
      <c r="C62" s="5">
        <f>C61 + $G$4 * C61 * $G$5</f>
        <v>0</v>
      </c>
    </row>
    <row r="63" spans="1:3">
      <c r="A63" s="2">
        <f>A62 + $G$5</f>
        <v>0</v>
      </c>
      <c r="B63" s="2">
        <f>$G$3 * EXP($G$4 * A63)</f>
        <v>0</v>
      </c>
      <c r="C63" s="2">
        <f>C62 + $G$4 * C62 * $G$5</f>
        <v>0</v>
      </c>
    </row>
    <row r="64" spans="1:3">
      <c r="A64" s="5">
        <f>A63 + $G$5</f>
        <v>0</v>
      </c>
      <c r="B64" s="5">
        <f>$G$3 * EXP($G$4 * A64)</f>
        <v>0</v>
      </c>
      <c r="C64" s="5">
        <f>C63 + $G$4 * C63 * $G$5</f>
        <v>0</v>
      </c>
    </row>
    <row r="65" spans="1:3">
      <c r="A65" s="2">
        <f>A64 + $G$5</f>
        <v>0</v>
      </c>
      <c r="B65" s="2">
        <f>$G$3 * EXP($G$4 * A65)</f>
        <v>0</v>
      </c>
      <c r="C65" s="2">
        <f>C64 + $G$4 * C64 * $G$5</f>
        <v>0</v>
      </c>
    </row>
    <row r="66" spans="1:3">
      <c r="A66" s="5">
        <f>A65 + $G$5</f>
        <v>0</v>
      </c>
      <c r="B66" s="5">
        <f>$G$3 * EXP($G$4 * A66)</f>
        <v>0</v>
      </c>
      <c r="C66" s="5">
        <f>C65 + $G$4 * C65 * $G$5</f>
        <v>0</v>
      </c>
    </row>
    <row r="67" spans="1:3">
      <c r="A67" s="2">
        <f>A66 + $G$5</f>
        <v>0</v>
      </c>
      <c r="B67" s="2">
        <f>$G$3 * EXP($G$4 * A67)</f>
        <v>0</v>
      </c>
      <c r="C67" s="2">
        <f>C66 + $G$4 * C66 * $G$5</f>
        <v>0</v>
      </c>
    </row>
    <row r="68" spans="1:3">
      <c r="A68" s="5">
        <f>A67 + $G$5</f>
        <v>0</v>
      </c>
      <c r="B68" s="5">
        <f>$G$3 * EXP($G$4 * A68)</f>
        <v>0</v>
      </c>
      <c r="C68" s="5">
        <f>C67 + $G$4 * C67 * $G$5</f>
        <v>0</v>
      </c>
    </row>
    <row r="69" spans="1:3">
      <c r="A69" s="2">
        <f>A68 + $G$5</f>
        <v>0</v>
      </c>
      <c r="B69" s="2">
        <f>$G$3 * EXP($G$4 * A69)</f>
        <v>0</v>
      </c>
      <c r="C69" s="2">
        <f>C68 + $G$4 * C68 * $G$5</f>
        <v>0</v>
      </c>
    </row>
    <row r="70" spans="1:3">
      <c r="A70" s="5">
        <f>A69 + $G$5</f>
        <v>0</v>
      </c>
      <c r="B70" s="5">
        <f>$G$3 * EXP($G$4 * A70)</f>
        <v>0</v>
      </c>
      <c r="C70" s="5">
        <f>C69 + $G$4 * C69 * $G$5</f>
        <v>0</v>
      </c>
    </row>
    <row r="71" spans="1:3">
      <c r="A71" s="2">
        <f>A70 + $G$5</f>
        <v>0</v>
      </c>
      <c r="B71" s="2">
        <f>$G$3 * EXP($G$4 * A71)</f>
        <v>0</v>
      </c>
      <c r="C71" s="2">
        <f>C70 + $G$4 * C70 * $G$5</f>
        <v>0</v>
      </c>
    </row>
    <row r="72" spans="1:3">
      <c r="A72" s="5">
        <f>A71 + $G$5</f>
        <v>0</v>
      </c>
      <c r="B72" s="5">
        <f>$G$3 * EXP($G$4 * A72)</f>
        <v>0</v>
      </c>
      <c r="C72" s="5">
        <f>C71 + $G$4 * C71 * $G$5</f>
        <v>0</v>
      </c>
    </row>
    <row r="73" spans="1:3">
      <c r="A73" s="2">
        <f>A72 + $G$5</f>
        <v>0</v>
      </c>
      <c r="B73" s="2">
        <f>$G$3 * EXP($G$4 * A73)</f>
        <v>0</v>
      </c>
      <c r="C73" s="2">
        <f>C72 + $G$4 * C72 * $G$5</f>
        <v>0</v>
      </c>
    </row>
    <row r="74" spans="1:3">
      <c r="A74" s="5">
        <f>A73 + $G$5</f>
        <v>0</v>
      </c>
      <c r="B74" s="5">
        <f>$G$3 * EXP($G$4 * A74)</f>
        <v>0</v>
      </c>
      <c r="C74" s="5">
        <f>C73 + $G$4 * C73 * $G$5</f>
        <v>0</v>
      </c>
    </row>
    <row r="75" spans="1:3">
      <c r="A75" s="2">
        <f>A74 + $G$5</f>
        <v>0</v>
      </c>
      <c r="B75" s="2">
        <f>$G$3 * EXP($G$4 * A75)</f>
        <v>0</v>
      </c>
      <c r="C75" s="2">
        <f>C74 + $G$4 * C74 * $G$5</f>
        <v>0</v>
      </c>
    </row>
    <row r="76" spans="1:3">
      <c r="A76" s="5">
        <f>A75 + $G$5</f>
        <v>0</v>
      </c>
      <c r="B76" s="5">
        <f>$G$3 * EXP($G$4 * A76)</f>
        <v>0</v>
      </c>
      <c r="C76" s="5">
        <f>C75 + $G$4 * C75 * $G$5</f>
        <v>0</v>
      </c>
    </row>
    <row r="77" spans="1:3">
      <c r="A77" s="2">
        <f>A76 + $G$5</f>
        <v>0</v>
      </c>
      <c r="B77" s="2">
        <f>$G$3 * EXP($G$4 * A77)</f>
        <v>0</v>
      </c>
      <c r="C77" s="2">
        <f>C76 + $G$4 * C76 * $G$5</f>
        <v>0</v>
      </c>
    </row>
    <row r="78" spans="1:3">
      <c r="A78" s="5">
        <f>A77 + $G$5</f>
        <v>0</v>
      </c>
      <c r="B78" s="5">
        <f>$G$3 * EXP($G$4 * A78)</f>
        <v>0</v>
      </c>
      <c r="C78" s="5">
        <f>C77 + $G$4 * C77 * $G$5</f>
        <v>0</v>
      </c>
    </row>
    <row r="79" spans="1:3">
      <c r="A79" s="2">
        <f>A78 + $G$5</f>
        <v>0</v>
      </c>
      <c r="B79" s="2">
        <f>$G$3 * EXP($G$4 * A79)</f>
        <v>0</v>
      </c>
      <c r="C79" s="2">
        <f>C78 + $G$4 * C78 * $G$5</f>
        <v>0</v>
      </c>
    </row>
    <row r="80" spans="1:3">
      <c r="A80" s="5">
        <f>A79 + $G$5</f>
        <v>0</v>
      </c>
      <c r="B80" s="5">
        <f>$G$3 * EXP($G$4 * A80)</f>
        <v>0</v>
      </c>
      <c r="C80" s="5">
        <f>C79 + $G$4 * C79 * $G$5</f>
        <v>0</v>
      </c>
    </row>
    <row r="81" spans="1:3">
      <c r="A81" s="2">
        <f>A80 + $G$5</f>
        <v>0</v>
      </c>
      <c r="B81" s="2">
        <f>$G$3 * EXP($G$4 * A81)</f>
        <v>0</v>
      </c>
      <c r="C81" s="2">
        <f>C80 + $G$4 * C80 * $G$5</f>
        <v>0</v>
      </c>
    </row>
    <row r="82" spans="1:3">
      <c r="A82" s="5">
        <f>A81 + $G$5</f>
        <v>0</v>
      </c>
      <c r="B82" s="5">
        <f>$G$3 * EXP($G$4 * A82)</f>
        <v>0</v>
      </c>
      <c r="C82" s="5">
        <f>C81 + $G$4 * C81 * $G$5</f>
        <v>0</v>
      </c>
    </row>
    <row r="83" spans="1:3">
      <c r="A83" s="2">
        <f>A82 + $G$5</f>
        <v>0</v>
      </c>
      <c r="B83" s="2">
        <f>$G$3 * EXP($G$4 * A83)</f>
        <v>0</v>
      </c>
      <c r="C83" s="2">
        <f>C82 + $G$4 * C82 * $G$5</f>
        <v>0</v>
      </c>
    </row>
    <row r="84" spans="1:3">
      <c r="A84" s="5">
        <f>A83 + $G$5</f>
        <v>0</v>
      </c>
      <c r="B84" s="5">
        <f>$G$3 * EXP($G$4 * A84)</f>
        <v>0</v>
      </c>
      <c r="C84" s="5">
        <f>C83 + $G$4 * C83 * $G$5</f>
        <v>0</v>
      </c>
    </row>
    <row r="85" spans="1:3">
      <c r="A85" s="2">
        <f>A84 + $G$5</f>
        <v>0</v>
      </c>
      <c r="B85" s="2">
        <f>$G$3 * EXP($G$4 * A85)</f>
        <v>0</v>
      </c>
      <c r="C85" s="2">
        <f>C84 + $G$4 * C84 * $G$5</f>
        <v>0</v>
      </c>
    </row>
    <row r="86" spans="1:3">
      <c r="A86" s="5">
        <f>A85 + $G$5</f>
        <v>0</v>
      </c>
      <c r="B86" s="5">
        <f>$G$3 * EXP($G$4 * A86)</f>
        <v>0</v>
      </c>
      <c r="C86" s="5">
        <f>C85 + $G$4 * C85 * $G$5</f>
        <v>0</v>
      </c>
    </row>
    <row r="87" spans="1:3">
      <c r="A87" s="2">
        <f>A86 + $G$5</f>
        <v>0</v>
      </c>
      <c r="B87" s="2">
        <f>$G$3 * EXP($G$4 * A87)</f>
        <v>0</v>
      </c>
      <c r="C87" s="2">
        <f>C86 + $G$4 * C86 * $G$5</f>
        <v>0</v>
      </c>
    </row>
    <row r="88" spans="1:3">
      <c r="A88" s="5">
        <f>A87 + $G$5</f>
        <v>0</v>
      </c>
      <c r="B88" s="5">
        <f>$G$3 * EXP($G$4 * A88)</f>
        <v>0</v>
      </c>
      <c r="C88" s="5">
        <f>C87 + $G$4 * C87 * $G$5</f>
        <v>0</v>
      </c>
    </row>
    <row r="89" spans="1:3">
      <c r="A89" s="2">
        <f>A88 + $G$5</f>
        <v>0</v>
      </c>
      <c r="B89" s="2">
        <f>$G$3 * EXP($G$4 * A89)</f>
        <v>0</v>
      </c>
      <c r="C89" s="2">
        <f>C88 + $G$4 * C88 * $G$5</f>
        <v>0</v>
      </c>
    </row>
    <row r="90" spans="1:3">
      <c r="A90" s="5">
        <f>A89 + $G$5</f>
        <v>0</v>
      </c>
      <c r="B90" s="5">
        <f>$G$3 * EXP($G$4 * A90)</f>
        <v>0</v>
      </c>
      <c r="C90" s="5">
        <f>C89 + $G$4 * C89 * $G$5</f>
        <v>0</v>
      </c>
    </row>
    <row r="91" spans="1:3">
      <c r="A91" s="2">
        <f>A90 + $G$5</f>
        <v>0</v>
      </c>
      <c r="B91" s="2">
        <f>$G$3 * EXP($G$4 * A91)</f>
        <v>0</v>
      </c>
      <c r="C91" s="2">
        <f>C90 + $G$4 * C90 * $G$5</f>
        <v>0</v>
      </c>
    </row>
    <row r="92" spans="1:3">
      <c r="A92" s="5">
        <f>A91 + $G$5</f>
        <v>0</v>
      </c>
      <c r="B92" s="5">
        <f>$G$3 * EXP($G$4 * A92)</f>
        <v>0</v>
      </c>
      <c r="C92" s="5">
        <f>C91 + $G$4 * C91 * $G$5</f>
        <v>0</v>
      </c>
    </row>
    <row r="93" spans="1:3">
      <c r="A93" s="2">
        <f>A92 + $G$5</f>
        <v>0</v>
      </c>
      <c r="B93" s="2">
        <f>$G$3 * EXP($G$4 * A93)</f>
        <v>0</v>
      </c>
      <c r="C93" s="2">
        <f>C92 + $G$4 * C92 * $G$5</f>
        <v>0</v>
      </c>
    </row>
    <row r="94" spans="1:3">
      <c r="A94" s="5">
        <f>A93 + $G$5</f>
        <v>0</v>
      </c>
      <c r="B94" s="5">
        <f>$G$3 * EXP($G$4 * A94)</f>
        <v>0</v>
      </c>
      <c r="C94" s="5">
        <f>C93 + $G$4 * C93 * $G$5</f>
        <v>0</v>
      </c>
    </row>
    <row r="95" spans="1:3">
      <c r="A95" s="2">
        <f>A94 + $G$5</f>
        <v>0</v>
      </c>
      <c r="B95" s="2">
        <f>$G$3 * EXP($G$4 * A95)</f>
        <v>0</v>
      </c>
      <c r="C95" s="2">
        <f>C94 + $G$4 * C94 * $G$5</f>
        <v>0</v>
      </c>
    </row>
    <row r="96" spans="1:3">
      <c r="A96" s="5">
        <f>A95 + $G$5</f>
        <v>0</v>
      </c>
      <c r="B96" s="5">
        <f>$G$3 * EXP($G$4 * A96)</f>
        <v>0</v>
      </c>
      <c r="C96" s="5">
        <f>C95 + $G$4 * C95 * $G$5</f>
        <v>0</v>
      </c>
    </row>
    <row r="97" spans="1:3">
      <c r="A97" s="2">
        <f>A96 + $G$5</f>
        <v>0</v>
      </c>
      <c r="B97" s="2">
        <f>$G$3 * EXP($G$4 * A97)</f>
        <v>0</v>
      </c>
      <c r="C97" s="2">
        <f>C96 + $G$4 * C96 * $G$5</f>
        <v>0</v>
      </c>
    </row>
    <row r="98" spans="1:3">
      <c r="A98" s="5">
        <f>A97 + $G$5</f>
        <v>0</v>
      </c>
      <c r="B98" s="5">
        <f>$G$3 * EXP($G$4 * A98)</f>
        <v>0</v>
      </c>
      <c r="C98" s="5">
        <f>C97 + $G$4 * C97 * $G$5</f>
        <v>0</v>
      </c>
    </row>
    <row r="99" spans="1:3">
      <c r="A99" s="2">
        <f>A98 + $G$5</f>
        <v>0</v>
      </c>
      <c r="B99" s="2">
        <f>$G$3 * EXP($G$4 * A99)</f>
        <v>0</v>
      </c>
      <c r="C99" s="2">
        <f>C98 + $G$4 * C98 * $G$5</f>
        <v>0</v>
      </c>
    </row>
    <row r="100" spans="1:3">
      <c r="A100" s="5">
        <f>A99 + $G$5</f>
        <v>0</v>
      </c>
      <c r="B100" s="5">
        <f>$G$3 * EXP($G$4 * A100)</f>
        <v>0</v>
      </c>
      <c r="C100" s="5">
        <f>C99 + $G$4 * C99 * $G$5</f>
        <v>0</v>
      </c>
    </row>
    <row r="101" spans="1:3">
      <c r="A101" s="2">
        <f>A100 + $G$5</f>
        <v>0</v>
      </c>
      <c r="B101" s="2">
        <f>$G$3 * EXP($G$4 * A101)</f>
        <v>0</v>
      </c>
      <c r="C101" s="2">
        <f>C100 + $G$4 * C100 * $G$5</f>
        <v>0</v>
      </c>
    </row>
    <row r="102" spans="1:3">
      <c r="A102" s="5">
        <f>A101 + $G$5</f>
        <v>0</v>
      </c>
      <c r="B102" s="5">
        <f>$G$3 * EXP($G$4 * A102)</f>
        <v>0</v>
      </c>
      <c r="C102" s="5">
        <f>C101 + $G$4 * C101 * $G$5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02"/>
  <sheetViews>
    <sheetView showGridLines="0" workbookViewId="0"/>
  </sheetViews>
  <sheetFormatPr defaultRowHeight="15"/>
  <cols>
    <col min="1" max="3" width="20.7109375" customWidth="1"/>
    <col min="6" max="6" width="20.7109375" customWidth="1"/>
    <col min="7" max="7" width="15.7109375" customWidth="1"/>
  </cols>
  <sheetData>
    <row r="2" spans="1:7">
      <c r="A2" s="1" t="s">
        <v>5</v>
      </c>
      <c r="B2" s="1" t="s">
        <v>6</v>
      </c>
      <c r="C2" s="1" t="s">
        <v>7</v>
      </c>
      <c r="F2" s="1" t="s">
        <v>0</v>
      </c>
      <c r="G2" s="1" t="s">
        <v>1</v>
      </c>
    </row>
    <row r="3" spans="1:7">
      <c r="A3" s="2">
        <v>0</v>
      </c>
      <c r="B3" s="2">
        <f>$G$3</f>
        <v>0</v>
      </c>
      <c r="C3" s="2">
        <f>$G$3</f>
        <v>0</v>
      </c>
      <c r="F3" s="3" t="s">
        <v>2</v>
      </c>
      <c r="G3" s="4">
        <v>10</v>
      </c>
    </row>
    <row r="4" spans="1:7">
      <c r="A4" s="5">
        <f>A3 + $G$6</f>
        <v>0</v>
      </c>
      <c r="B4" s="5">
        <f>$G$5 / (1 + (($G$5 - $G$3) / $G$3) * EXP(-$G$4 * A4))</f>
        <v>0</v>
      </c>
      <c r="C4" s="5">
        <f>C3 + $G$4 * C3 * (1 - C3 / $G$5) * $G$6</f>
        <v>0</v>
      </c>
      <c r="F4" s="3" t="s">
        <v>3</v>
      </c>
      <c r="G4" s="4">
        <v>0.1</v>
      </c>
    </row>
    <row r="5" spans="1:7">
      <c r="A5" s="2">
        <f>A4 + $G$6</f>
        <v>0</v>
      </c>
      <c r="B5" s="2">
        <f>$G$5 / (1 + (($G$5 - $G$3) / $G$3) * EXP(-$G$4 * A5))</f>
        <v>0</v>
      </c>
      <c r="C5" s="2">
        <f>C4 + $G$4 * C4 * (1 - C4 / $G$5) * $G$6</f>
        <v>0</v>
      </c>
      <c r="F5" s="3" t="s">
        <v>8</v>
      </c>
      <c r="G5" s="4">
        <v>1000</v>
      </c>
    </row>
    <row r="6" spans="1:7">
      <c r="A6" s="5">
        <f>A5 + $G$6</f>
        <v>0</v>
      </c>
      <c r="B6" s="5">
        <f>$G$5 / (1 + (($G$5 - $G$3) / $G$3) * EXP(-$G$4 * A6))</f>
        <v>0</v>
      </c>
      <c r="C6" s="5">
        <f>C5 + $G$4 * C5 * (1 - C5 / $G$5) * $G$6</f>
        <v>0</v>
      </c>
      <c r="F6" s="3" t="s">
        <v>4</v>
      </c>
      <c r="G6" s="4">
        <v>1</v>
      </c>
    </row>
    <row r="7" spans="1:7">
      <c r="A7" s="2">
        <f>A6 + $G$6</f>
        <v>0</v>
      </c>
      <c r="B7" s="2">
        <f>$G$5 / (1 + (($G$5 - $G$3) / $G$3) * EXP(-$G$4 * A7))</f>
        <v>0</v>
      </c>
      <c r="C7" s="2">
        <f>C6 + $G$4 * C6 * (1 - C6 / $G$5) * $G$6</f>
        <v>0</v>
      </c>
    </row>
    <row r="8" spans="1:7">
      <c r="A8" s="5">
        <f>A7 + $G$6</f>
        <v>0</v>
      </c>
      <c r="B8" s="5">
        <f>$G$5 / (1 + (($G$5 - $G$3) / $G$3) * EXP(-$G$4 * A8))</f>
        <v>0</v>
      </c>
      <c r="C8" s="5">
        <f>C7 + $G$4 * C7 * (1 - C7 / $G$5) * $G$6</f>
        <v>0</v>
      </c>
    </row>
    <row r="9" spans="1:7">
      <c r="A9" s="2">
        <f>A8 + $G$6</f>
        <v>0</v>
      </c>
      <c r="B9" s="2">
        <f>$G$5 / (1 + (($G$5 - $G$3) / $G$3) * EXP(-$G$4 * A9))</f>
        <v>0</v>
      </c>
      <c r="C9" s="2">
        <f>C8 + $G$4 * C8 * (1 - C8 / $G$5) * $G$6</f>
        <v>0</v>
      </c>
    </row>
    <row r="10" spans="1:7">
      <c r="A10" s="5">
        <f>A9 + $G$6</f>
        <v>0</v>
      </c>
      <c r="B10" s="5">
        <f>$G$5 / (1 + (($G$5 - $G$3) / $G$3) * EXP(-$G$4 * A10))</f>
        <v>0</v>
      </c>
      <c r="C10" s="5">
        <f>C9 + $G$4 * C9 * (1 - C9 / $G$5) * $G$6</f>
        <v>0</v>
      </c>
    </row>
    <row r="11" spans="1:7">
      <c r="A11" s="2">
        <f>A10 + $G$6</f>
        <v>0</v>
      </c>
      <c r="B11" s="2">
        <f>$G$5 / (1 + (($G$5 - $G$3) / $G$3) * EXP(-$G$4 * A11))</f>
        <v>0</v>
      </c>
      <c r="C11" s="2">
        <f>C10 + $G$4 * C10 * (1 - C10 / $G$5) * $G$6</f>
        <v>0</v>
      </c>
    </row>
    <row r="12" spans="1:7">
      <c r="A12" s="5">
        <f>A11 + $G$6</f>
        <v>0</v>
      </c>
      <c r="B12" s="5">
        <f>$G$5 / (1 + (($G$5 - $G$3) / $G$3) * EXP(-$G$4 * A12))</f>
        <v>0</v>
      </c>
      <c r="C12" s="5">
        <f>C11 + $G$4 * C11 * (1 - C11 / $G$5) * $G$6</f>
        <v>0</v>
      </c>
    </row>
    <row r="13" spans="1:7">
      <c r="A13" s="2">
        <f>A12 + $G$6</f>
        <v>0</v>
      </c>
      <c r="B13" s="2">
        <f>$G$5 / (1 + (($G$5 - $G$3) / $G$3) * EXP(-$G$4 * A13))</f>
        <v>0</v>
      </c>
      <c r="C13" s="2">
        <f>C12 + $G$4 * C12 * (1 - C12 / $G$5) * $G$6</f>
        <v>0</v>
      </c>
    </row>
    <row r="14" spans="1:7">
      <c r="A14" s="5">
        <f>A13 + $G$6</f>
        <v>0</v>
      </c>
      <c r="B14" s="5">
        <f>$G$5 / (1 + (($G$5 - $G$3) / $G$3) * EXP(-$G$4 * A14))</f>
        <v>0</v>
      </c>
      <c r="C14" s="5">
        <f>C13 + $G$4 * C13 * (1 - C13 / $G$5) * $G$6</f>
        <v>0</v>
      </c>
    </row>
    <row r="15" spans="1:7">
      <c r="A15" s="2">
        <f>A14 + $G$6</f>
        <v>0</v>
      </c>
      <c r="B15" s="2">
        <f>$G$5 / (1 + (($G$5 - $G$3) / $G$3) * EXP(-$G$4 * A15))</f>
        <v>0</v>
      </c>
      <c r="C15" s="2">
        <f>C14 + $G$4 * C14 * (1 - C14 / $G$5) * $G$6</f>
        <v>0</v>
      </c>
    </row>
    <row r="16" spans="1:7">
      <c r="A16" s="5">
        <f>A15 + $G$6</f>
        <v>0</v>
      </c>
      <c r="B16" s="5">
        <f>$G$5 / (1 + (($G$5 - $G$3) / $G$3) * EXP(-$G$4 * A16))</f>
        <v>0</v>
      </c>
      <c r="C16" s="5">
        <f>C15 + $G$4 * C15 * (1 - C15 / $G$5) * $G$6</f>
        <v>0</v>
      </c>
    </row>
    <row r="17" spans="1:3">
      <c r="A17" s="2">
        <f>A16 + $G$6</f>
        <v>0</v>
      </c>
      <c r="B17" s="2">
        <f>$G$5 / (1 + (($G$5 - $G$3) / $G$3) * EXP(-$G$4 * A17))</f>
        <v>0</v>
      </c>
      <c r="C17" s="2">
        <f>C16 + $G$4 * C16 * (1 - C16 / $G$5) * $G$6</f>
        <v>0</v>
      </c>
    </row>
    <row r="18" spans="1:3">
      <c r="A18" s="5">
        <f>A17 + $G$6</f>
        <v>0</v>
      </c>
      <c r="B18" s="5">
        <f>$G$5 / (1 + (($G$5 - $G$3) / $G$3) * EXP(-$G$4 * A18))</f>
        <v>0</v>
      </c>
      <c r="C18" s="5">
        <f>C17 + $G$4 * C17 * (1 - C17 / $G$5) * $G$6</f>
        <v>0</v>
      </c>
    </row>
    <row r="19" spans="1:3">
      <c r="A19" s="2">
        <f>A18 + $G$6</f>
        <v>0</v>
      </c>
      <c r="B19" s="2">
        <f>$G$5 / (1 + (($G$5 - $G$3) / $G$3) * EXP(-$G$4 * A19))</f>
        <v>0</v>
      </c>
      <c r="C19" s="2">
        <f>C18 + $G$4 * C18 * (1 - C18 / $G$5) * $G$6</f>
        <v>0</v>
      </c>
    </row>
    <row r="20" spans="1:3">
      <c r="A20" s="5">
        <f>A19 + $G$6</f>
        <v>0</v>
      </c>
      <c r="B20" s="5">
        <f>$G$5 / (1 + (($G$5 - $G$3) / $G$3) * EXP(-$G$4 * A20))</f>
        <v>0</v>
      </c>
      <c r="C20" s="5">
        <f>C19 + $G$4 * C19 * (1 - C19 / $G$5) * $G$6</f>
        <v>0</v>
      </c>
    </row>
    <row r="21" spans="1:3">
      <c r="A21" s="2">
        <f>A20 + $G$6</f>
        <v>0</v>
      </c>
      <c r="B21" s="2">
        <f>$G$5 / (1 + (($G$5 - $G$3) / $G$3) * EXP(-$G$4 * A21))</f>
        <v>0</v>
      </c>
      <c r="C21" s="2">
        <f>C20 + $G$4 * C20 * (1 - C20 / $G$5) * $G$6</f>
        <v>0</v>
      </c>
    </row>
    <row r="22" spans="1:3">
      <c r="A22" s="5">
        <f>A21 + $G$6</f>
        <v>0</v>
      </c>
      <c r="B22" s="5">
        <f>$G$5 / (1 + (($G$5 - $G$3) / $G$3) * EXP(-$G$4 * A22))</f>
        <v>0</v>
      </c>
      <c r="C22" s="5">
        <f>C21 + $G$4 * C21 * (1 - C21 / $G$5) * $G$6</f>
        <v>0</v>
      </c>
    </row>
    <row r="23" spans="1:3">
      <c r="A23" s="2">
        <f>A22 + $G$6</f>
        <v>0</v>
      </c>
      <c r="B23" s="2">
        <f>$G$5 / (1 + (($G$5 - $G$3) / $G$3) * EXP(-$G$4 * A23))</f>
        <v>0</v>
      </c>
      <c r="C23" s="2">
        <f>C22 + $G$4 * C22 * (1 - C22 / $G$5) * $G$6</f>
        <v>0</v>
      </c>
    </row>
    <row r="24" spans="1:3">
      <c r="A24" s="5">
        <f>A23 + $G$6</f>
        <v>0</v>
      </c>
      <c r="B24" s="5">
        <f>$G$5 / (1 + (($G$5 - $G$3) / $G$3) * EXP(-$G$4 * A24))</f>
        <v>0</v>
      </c>
      <c r="C24" s="5">
        <f>C23 + $G$4 * C23 * (1 - C23 / $G$5) * $G$6</f>
        <v>0</v>
      </c>
    </row>
    <row r="25" spans="1:3">
      <c r="A25" s="2">
        <f>A24 + $G$6</f>
        <v>0</v>
      </c>
      <c r="B25" s="2">
        <f>$G$5 / (1 + (($G$5 - $G$3) / $G$3) * EXP(-$G$4 * A25))</f>
        <v>0</v>
      </c>
      <c r="C25" s="2">
        <f>C24 + $G$4 * C24 * (1 - C24 / $G$5) * $G$6</f>
        <v>0</v>
      </c>
    </row>
    <row r="26" spans="1:3">
      <c r="A26" s="5">
        <f>A25 + $G$6</f>
        <v>0</v>
      </c>
      <c r="B26" s="5">
        <f>$G$5 / (1 + (($G$5 - $G$3) / $G$3) * EXP(-$G$4 * A26))</f>
        <v>0</v>
      </c>
      <c r="C26" s="5">
        <f>C25 + $G$4 * C25 * (1 - C25 / $G$5) * $G$6</f>
        <v>0</v>
      </c>
    </row>
    <row r="27" spans="1:3">
      <c r="A27" s="2">
        <f>A26 + $G$6</f>
        <v>0</v>
      </c>
      <c r="B27" s="2">
        <f>$G$5 / (1 + (($G$5 - $G$3) / $G$3) * EXP(-$G$4 * A27))</f>
        <v>0</v>
      </c>
      <c r="C27" s="2">
        <f>C26 + $G$4 * C26 * (1 - C26 / $G$5) * $G$6</f>
        <v>0</v>
      </c>
    </row>
    <row r="28" spans="1:3">
      <c r="A28" s="5">
        <f>A27 + $G$6</f>
        <v>0</v>
      </c>
      <c r="B28" s="5">
        <f>$G$5 / (1 + (($G$5 - $G$3) / $G$3) * EXP(-$G$4 * A28))</f>
        <v>0</v>
      </c>
      <c r="C28" s="5">
        <f>C27 + $G$4 * C27 * (1 - C27 / $G$5) * $G$6</f>
        <v>0</v>
      </c>
    </row>
    <row r="29" spans="1:3">
      <c r="A29" s="2">
        <f>A28 + $G$6</f>
        <v>0</v>
      </c>
      <c r="B29" s="2">
        <f>$G$5 / (1 + (($G$5 - $G$3) / $G$3) * EXP(-$G$4 * A29))</f>
        <v>0</v>
      </c>
      <c r="C29" s="2">
        <f>C28 + $G$4 * C28 * (1 - C28 / $G$5) * $G$6</f>
        <v>0</v>
      </c>
    </row>
    <row r="30" spans="1:3">
      <c r="A30" s="5">
        <f>A29 + $G$6</f>
        <v>0</v>
      </c>
      <c r="B30" s="5">
        <f>$G$5 / (1 + (($G$5 - $G$3) / $G$3) * EXP(-$G$4 * A30))</f>
        <v>0</v>
      </c>
      <c r="C30" s="5">
        <f>C29 + $G$4 * C29 * (1 - C29 / $G$5) * $G$6</f>
        <v>0</v>
      </c>
    </row>
    <row r="31" spans="1:3">
      <c r="A31" s="2">
        <f>A30 + $G$6</f>
        <v>0</v>
      </c>
      <c r="B31" s="2">
        <f>$G$5 / (1 + (($G$5 - $G$3) / $G$3) * EXP(-$G$4 * A31))</f>
        <v>0</v>
      </c>
      <c r="C31" s="2">
        <f>C30 + $G$4 * C30 * (1 - C30 / $G$5) * $G$6</f>
        <v>0</v>
      </c>
    </row>
    <row r="32" spans="1:3">
      <c r="A32" s="5">
        <f>A31 + $G$6</f>
        <v>0</v>
      </c>
      <c r="B32" s="5">
        <f>$G$5 / (1 + (($G$5 - $G$3) / $G$3) * EXP(-$G$4 * A32))</f>
        <v>0</v>
      </c>
      <c r="C32" s="5">
        <f>C31 + $G$4 * C31 * (1 - C31 / $G$5) * $G$6</f>
        <v>0</v>
      </c>
    </row>
    <row r="33" spans="1:3">
      <c r="A33" s="2">
        <f>A32 + $G$6</f>
        <v>0</v>
      </c>
      <c r="B33" s="2">
        <f>$G$5 / (1 + (($G$5 - $G$3) / $G$3) * EXP(-$G$4 * A33))</f>
        <v>0</v>
      </c>
      <c r="C33" s="2">
        <f>C32 + $G$4 * C32 * (1 - C32 / $G$5) * $G$6</f>
        <v>0</v>
      </c>
    </row>
    <row r="34" spans="1:3">
      <c r="A34" s="5">
        <f>A33 + $G$6</f>
        <v>0</v>
      </c>
      <c r="B34" s="5">
        <f>$G$5 / (1 + (($G$5 - $G$3) / $G$3) * EXP(-$G$4 * A34))</f>
        <v>0</v>
      </c>
      <c r="C34" s="5">
        <f>C33 + $G$4 * C33 * (1 - C33 / $G$5) * $G$6</f>
        <v>0</v>
      </c>
    </row>
    <row r="35" spans="1:3">
      <c r="A35" s="2">
        <f>A34 + $G$6</f>
        <v>0</v>
      </c>
      <c r="B35" s="2">
        <f>$G$5 / (1 + (($G$5 - $G$3) / $G$3) * EXP(-$G$4 * A35))</f>
        <v>0</v>
      </c>
      <c r="C35" s="2">
        <f>C34 + $G$4 * C34 * (1 - C34 / $G$5) * $G$6</f>
        <v>0</v>
      </c>
    </row>
    <row r="36" spans="1:3">
      <c r="A36" s="5">
        <f>A35 + $G$6</f>
        <v>0</v>
      </c>
      <c r="B36" s="5">
        <f>$G$5 / (1 + (($G$5 - $G$3) / $G$3) * EXP(-$G$4 * A36))</f>
        <v>0</v>
      </c>
      <c r="C36" s="5">
        <f>C35 + $G$4 * C35 * (1 - C35 / $G$5) * $G$6</f>
        <v>0</v>
      </c>
    </row>
    <row r="37" spans="1:3">
      <c r="A37" s="2">
        <f>A36 + $G$6</f>
        <v>0</v>
      </c>
      <c r="B37" s="2">
        <f>$G$5 / (1 + (($G$5 - $G$3) / $G$3) * EXP(-$G$4 * A37))</f>
        <v>0</v>
      </c>
      <c r="C37" s="2">
        <f>C36 + $G$4 * C36 * (1 - C36 / $G$5) * $G$6</f>
        <v>0</v>
      </c>
    </row>
    <row r="38" spans="1:3">
      <c r="A38" s="5">
        <f>A37 + $G$6</f>
        <v>0</v>
      </c>
      <c r="B38" s="5">
        <f>$G$5 / (1 + (($G$5 - $G$3) / $G$3) * EXP(-$G$4 * A38))</f>
        <v>0</v>
      </c>
      <c r="C38" s="5">
        <f>C37 + $G$4 * C37 * (1 - C37 / $G$5) * $G$6</f>
        <v>0</v>
      </c>
    </row>
    <row r="39" spans="1:3">
      <c r="A39" s="2">
        <f>A38 + $G$6</f>
        <v>0</v>
      </c>
      <c r="B39" s="2">
        <f>$G$5 / (1 + (($G$5 - $G$3) / $G$3) * EXP(-$G$4 * A39))</f>
        <v>0</v>
      </c>
      <c r="C39" s="2">
        <f>C38 + $G$4 * C38 * (1 - C38 / $G$5) * $G$6</f>
        <v>0</v>
      </c>
    </row>
    <row r="40" spans="1:3">
      <c r="A40" s="5">
        <f>A39 + $G$6</f>
        <v>0</v>
      </c>
      <c r="B40" s="5">
        <f>$G$5 / (1 + (($G$5 - $G$3) / $G$3) * EXP(-$G$4 * A40))</f>
        <v>0</v>
      </c>
      <c r="C40" s="5">
        <f>C39 + $G$4 * C39 * (1 - C39 / $G$5) * $G$6</f>
        <v>0</v>
      </c>
    </row>
    <row r="41" spans="1:3">
      <c r="A41" s="2">
        <f>A40 + $G$6</f>
        <v>0</v>
      </c>
      <c r="B41" s="2">
        <f>$G$5 / (1 + (($G$5 - $G$3) / $G$3) * EXP(-$G$4 * A41))</f>
        <v>0</v>
      </c>
      <c r="C41" s="2">
        <f>C40 + $G$4 * C40 * (1 - C40 / $G$5) * $G$6</f>
        <v>0</v>
      </c>
    </row>
    <row r="42" spans="1:3">
      <c r="A42" s="5">
        <f>A41 + $G$6</f>
        <v>0</v>
      </c>
      <c r="B42" s="5">
        <f>$G$5 / (1 + (($G$5 - $G$3) / $G$3) * EXP(-$G$4 * A42))</f>
        <v>0</v>
      </c>
      <c r="C42" s="5">
        <f>C41 + $G$4 * C41 * (1 - C41 / $G$5) * $G$6</f>
        <v>0</v>
      </c>
    </row>
    <row r="43" spans="1:3">
      <c r="A43" s="2">
        <f>A42 + $G$6</f>
        <v>0</v>
      </c>
      <c r="B43" s="2">
        <f>$G$5 / (1 + (($G$5 - $G$3) / $G$3) * EXP(-$G$4 * A43))</f>
        <v>0</v>
      </c>
      <c r="C43" s="2">
        <f>C42 + $G$4 * C42 * (1 - C42 / $G$5) * $G$6</f>
        <v>0</v>
      </c>
    </row>
    <row r="44" spans="1:3">
      <c r="A44" s="5">
        <f>A43 + $G$6</f>
        <v>0</v>
      </c>
      <c r="B44" s="5">
        <f>$G$5 / (1 + (($G$5 - $G$3) / $G$3) * EXP(-$G$4 * A44))</f>
        <v>0</v>
      </c>
      <c r="C44" s="5">
        <f>C43 + $G$4 * C43 * (1 - C43 / $G$5) * $G$6</f>
        <v>0</v>
      </c>
    </row>
    <row r="45" spans="1:3">
      <c r="A45" s="2">
        <f>A44 + $G$6</f>
        <v>0</v>
      </c>
      <c r="B45" s="2">
        <f>$G$5 / (1 + (($G$5 - $G$3) / $G$3) * EXP(-$G$4 * A45))</f>
        <v>0</v>
      </c>
      <c r="C45" s="2">
        <f>C44 + $G$4 * C44 * (1 - C44 / $G$5) * $G$6</f>
        <v>0</v>
      </c>
    </row>
    <row r="46" spans="1:3">
      <c r="A46" s="5">
        <f>A45 + $G$6</f>
        <v>0</v>
      </c>
      <c r="B46" s="5">
        <f>$G$5 / (1 + (($G$5 - $G$3) / $G$3) * EXP(-$G$4 * A46))</f>
        <v>0</v>
      </c>
      <c r="C46" s="5">
        <f>C45 + $G$4 * C45 * (1 - C45 / $G$5) * $G$6</f>
        <v>0</v>
      </c>
    </row>
    <row r="47" spans="1:3">
      <c r="A47" s="2">
        <f>A46 + $G$6</f>
        <v>0</v>
      </c>
      <c r="B47" s="2">
        <f>$G$5 / (1 + (($G$5 - $G$3) / $G$3) * EXP(-$G$4 * A47))</f>
        <v>0</v>
      </c>
      <c r="C47" s="2">
        <f>C46 + $G$4 * C46 * (1 - C46 / $G$5) * $G$6</f>
        <v>0</v>
      </c>
    </row>
    <row r="48" spans="1:3">
      <c r="A48" s="5">
        <f>A47 + $G$6</f>
        <v>0</v>
      </c>
      <c r="B48" s="5">
        <f>$G$5 / (1 + (($G$5 - $G$3) / $G$3) * EXP(-$G$4 * A48))</f>
        <v>0</v>
      </c>
      <c r="C48" s="5">
        <f>C47 + $G$4 * C47 * (1 - C47 / $G$5) * $G$6</f>
        <v>0</v>
      </c>
    </row>
    <row r="49" spans="1:3">
      <c r="A49" s="2">
        <f>A48 + $G$6</f>
        <v>0</v>
      </c>
      <c r="B49" s="2">
        <f>$G$5 / (1 + (($G$5 - $G$3) / $G$3) * EXP(-$G$4 * A49))</f>
        <v>0</v>
      </c>
      <c r="C49" s="2">
        <f>C48 + $G$4 * C48 * (1 - C48 / $G$5) * $G$6</f>
        <v>0</v>
      </c>
    </row>
    <row r="50" spans="1:3">
      <c r="A50" s="5">
        <f>A49 + $G$6</f>
        <v>0</v>
      </c>
      <c r="B50" s="5">
        <f>$G$5 / (1 + (($G$5 - $G$3) / $G$3) * EXP(-$G$4 * A50))</f>
        <v>0</v>
      </c>
      <c r="C50" s="5">
        <f>C49 + $G$4 * C49 * (1 - C49 / $G$5) * $G$6</f>
        <v>0</v>
      </c>
    </row>
    <row r="51" spans="1:3">
      <c r="A51" s="2">
        <f>A50 + $G$6</f>
        <v>0</v>
      </c>
      <c r="B51" s="2">
        <f>$G$5 / (1 + (($G$5 - $G$3) / $G$3) * EXP(-$G$4 * A51))</f>
        <v>0</v>
      </c>
      <c r="C51" s="2">
        <f>C50 + $G$4 * C50 * (1 - C50 / $G$5) * $G$6</f>
        <v>0</v>
      </c>
    </row>
    <row r="52" spans="1:3">
      <c r="A52" s="5">
        <f>A51 + $G$6</f>
        <v>0</v>
      </c>
      <c r="B52" s="5">
        <f>$G$5 / (1 + (($G$5 - $G$3) / $G$3) * EXP(-$G$4 * A52))</f>
        <v>0</v>
      </c>
      <c r="C52" s="5">
        <f>C51 + $G$4 * C51 * (1 - C51 / $G$5) * $G$6</f>
        <v>0</v>
      </c>
    </row>
    <row r="53" spans="1:3">
      <c r="A53" s="2">
        <f>A52 + $G$6</f>
        <v>0</v>
      </c>
      <c r="B53" s="2">
        <f>$G$5 / (1 + (($G$5 - $G$3) / $G$3) * EXP(-$G$4 * A53))</f>
        <v>0</v>
      </c>
      <c r="C53" s="2">
        <f>C52 + $G$4 * C52 * (1 - C52 / $G$5) * $G$6</f>
        <v>0</v>
      </c>
    </row>
    <row r="54" spans="1:3">
      <c r="A54" s="5">
        <f>A53 + $G$6</f>
        <v>0</v>
      </c>
      <c r="B54" s="5">
        <f>$G$5 / (1 + (($G$5 - $G$3) / $G$3) * EXP(-$G$4 * A54))</f>
        <v>0</v>
      </c>
      <c r="C54" s="5">
        <f>C53 + $G$4 * C53 * (1 - C53 / $G$5) * $G$6</f>
        <v>0</v>
      </c>
    </row>
    <row r="55" spans="1:3">
      <c r="A55" s="2">
        <f>A54 + $G$6</f>
        <v>0</v>
      </c>
      <c r="B55" s="2">
        <f>$G$5 / (1 + (($G$5 - $G$3) / $G$3) * EXP(-$G$4 * A55))</f>
        <v>0</v>
      </c>
      <c r="C55" s="2">
        <f>C54 + $G$4 * C54 * (1 - C54 / $G$5) * $G$6</f>
        <v>0</v>
      </c>
    </row>
    <row r="56" spans="1:3">
      <c r="A56" s="5">
        <f>A55 + $G$6</f>
        <v>0</v>
      </c>
      <c r="B56" s="5">
        <f>$G$5 / (1 + (($G$5 - $G$3) / $G$3) * EXP(-$G$4 * A56))</f>
        <v>0</v>
      </c>
      <c r="C56" s="5">
        <f>C55 + $G$4 * C55 * (1 - C55 / $G$5) * $G$6</f>
        <v>0</v>
      </c>
    </row>
    <row r="57" spans="1:3">
      <c r="A57" s="2">
        <f>A56 + $G$6</f>
        <v>0</v>
      </c>
      <c r="B57" s="2">
        <f>$G$5 / (1 + (($G$5 - $G$3) / $G$3) * EXP(-$G$4 * A57))</f>
        <v>0</v>
      </c>
      <c r="C57" s="2">
        <f>C56 + $G$4 * C56 * (1 - C56 / $G$5) * $G$6</f>
        <v>0</v>
      </c>
    </row>
    <row r="58" spans="1:3">
      <c r="A58" s="5">
        <f>A57 + $G$6</f>
        <v>0</v>
      </c>
      <c r="B58" s="5">
        <f>$G$5 / (1 + (($G$5 - $G$3) / $G$3) * EXP(-$G$4 * A58))</f>
        <v>0</v>
      </c>
      <c r="C58" s="5">
        <f>C57 + $G$4 * C57 * (1 - C57 / $G$5) * $G$6</f>
        <v>0</v>
      </c>
    </row>
    <row r="59" spans="1:3">
      <c r="A59" s="2">
        <f>A58 + $G$6</f>
        <v>0</v>
      </c>
      <c r="B59" s="2">
        <f>$G$5 / (1 + (($G$5 - $G$3) / $G$3) * EXP(-$G$4 * A59))</f>
        <v>0</v>
      </c>
      <c r="C59" s="2">
        <f>C58 + $G$4 * C58 * (1 - C58 / $G$5) * $G$6</f>
        <v>0</v>
      </c>
    </row>
    <row r="60" spans="1:3">
      <c r="A60" s="5">
        <f>A59 + $G$6</f>
        <v>0</v>
      </c>
      <c r="B60" s="5">
        <f>$G$5 / (1 + (($G$5 - $G$3) / $G$3) * EXP(-$G$4 * A60))</f>
        <v>0</v>
      </c>
      <c r="C60" s="5">
        <f>C59 + $G$4 * C59 * (1 - C59 / $G$5) * $G$6</f>
        <v>0</v>
      </c>
    </row>
    <row r="61" spans="1:3">
      <c r="A61" s="2">
        <f>A60 + $G$6</f>
        <v>0</v>
      </c>
      <c r="B61" s="2">
        <f>$G$5 / (1 + (($G$5 - $G$3) / $G$3) * EXP(-$G$4 * A61))</f>
        <v>0</v>
      </c>
      <c r="C61" s="2">
        <f>C60 + $G$4 * C60 * (1 - C60 / $G$5) * $G$6</f>
        <v>0</v>
      </c>
    </row>
    <row r="62" spans="1:3">
      <c r="A62" s="5">
        <f>A61 + $G$6</f>
        <v>0</v>
      </c>
      <c r="B62" s="5">
        <f>$G$5 / (1 + (($G$5 - $G$3) / $G$3) * EXP(-$G$4 * A62))</f>
        <v>0</v>
      </c>
      <c r="C62" s="5">
        <f>C61 + $G$4 * C61 * (1 - C61 / $G$5) * $G$6</f>
        <v>0</v>
      </c>
    </row>
    <row r="63" spans="1:3">
      <c r="A63" s="2">
        <f>A62 + $G$6</f>
        <v>0</v>
      </c>
      <c r="B63" s="2">
        <f>$G$5 / (1 + (($G$5 - $G$3) / $G$3) * EXP(-$G$4 * A63))</f>
        <v>0</v>
      </c>
      <c r="C63" s="2">
        <f>C62 + $G$4 * C62 * (1 - C62 / $G$5) * $G$6</f>
        <v>0</v>
      </c>
    </row>
    <row r="64" spans="1:3">
      <c r="A64" s="5">
        <f>A63 + $G$6</f>
        <v>0</v>
      </c>
      <c r="B64" s="5">
        <f>$G$5 / (1 + (($G$5 - $G$3) / $G$3) * EXP(-$G$4 * A64))</f>
        <v>0</v>
      </c>
      <c r="C64" s="5">
        <f>C63 + $G$4 * C63 * (1 - C63 / $G$5) * $G$6</f>
        <v>0</v>
      </c>
    </row>
    <row r="65" spans="1:3">
      <c r="A65" s="2">
        <f>A64 + $G$6</f>
        <v>0</v>
      </c>
      <c r="B65" s="2">
        <f>$G$5 / (1 + (($G$5 - $G$3) / $G$3) * EXP(-$G$4 * A65))</f>
        <v>0</v>
      </c>
      <c r="C65" s="2">
        <f>C64 + $G$4 * C64 * (1 - C64 / $G$5) * $G$6</f>
        <v>0</v>
      </c>
    </row>
    <row r="66" spans="1:3">
      <c r="A66" s="5">
        <f>A65 + $G$6</f>
        <v>0</v>
      </c>
      <c r="B66" s="5">
        <f>$G$5 / (1 + (($G$5 - $G$3) / $G$3) * EXP(-$G$4 * A66))</f>
        <v>0</v>
      </c>
      <c r="C66" s="5">
        <f>C65 + $G$4 * C65 * (1 - C65 / $G$5) * $G$6</f>
        <v>0</v>
      </c>
    </row>
    <row r="67" spans="1:3">
      <c r="A67" s="2">
        <f>A66 + $G$6</f>
        <v>0</v>
      </c>
      <c r="B67" s="2">
        <f>$G$5 / (1 + (($G$5 - $G$3) / $G$3) * EXP(-$G$4 * A67))</f>
        <v>0</v>
      </c>
      <c r="C67" s="2">
        <f>C66 + $G$4 * C66 * (1 - C66 / $G$5) * $G$6</f>
        <v>0</v>
      </c>
    </row>
    <row r="68" spans="1:3">
      <c r="A68" s="5">
        <f>A67 + $G$6</f>
        <v>0</v>
      </c>
      <c r="B68" s="5">
        <f>$G$5 / (1 + (($G$5 - $G$3) / $G$3) * EXP(-$G$4 * A68))</f>
        <v>0</v>
      </c>
      <c r="C68" s="5">
        <f>C67 + $G$4 * C67 * (1 - C67 / $G$5) * $G$6</f>
        <v>0</v>
      </c>
    </row>
    <row r="69" spans="1:3">
      <c r="A69" s="2">
        <f>A68 + $G$6</f>
        <v>0</v>
      </c>
      <c r="B69" s="2">
        <f>$G$5 / (1 + (($G$5 - $G$3) / $G$3) * EXP(-$G$4 * A69))</f>
        <v>0</v>
      </c>
      <c r="C69" s="2">
        <f>C68 + $G$4 * C68 * (1 - C68 / $G$5) * $G$6</f>
        <v>0</v>
      </c>
    </row>
    <row r="70" spans="1:3">
      <c r="A70" s="5">
        <f>A69 + $G$6</f>
        <v>0</v>
      </c>
      <c r="B70" s="5">
        <f>$G$5 / (1 + (($G$5 - $G$3) / $G$3) * EXP(-$G$4 * A70))</f>
        <v>0</v>
      </c>
      <c r="C70" s="5">
        <f>C69 + $G$4 * C69 * (1 - C69 / $G$5) * $G$6</f>
        <v>0</v>
      </c>
    </row>
    <row r="71" spans="1:3">
      <c r="A71" s="2">
        <f>A70 + $G$6</f>
        <v>0</v>
      </c>
      <c r="B71" s="2">
        <f>$G$5 / (1 + (($G$5 - $G$3) / $G$3) * EXP(-$G$4 * A71))</f>
        <v>0</v>
      </c>
      <c r="C71" s="2">
        <f>C70 + $G$4 * C70 * (1 - C70 / $G$5) * $G$6</f>
        <v>0</v>
      </c>
    </row>
    <row r="72" spans="1:3">
      <c r="A72" s="5">
        <f>A71 + $G$6</f>
        <v>0</v>
      </c>
      <c r="B72" s="5">
        <f>$G$5 / (1 + (($G$5 - $G$3) / $G$3) * EXP(-$G$4 * A72))</f>
        <v>0</v>
      </c>
      <c r="C72" s="5">
        <f>C71 + $G$4 * C71 * (1 - C71 / $G$5) * $G$6</f>
        <v>0</v>
      </c>
    </row>
    <row r="73" spans="1:3">
      <c r="A73" s="2">
        <f>A72 + $G$6</f>
        <v>0</v>
      </c>
      <c r="B73" s="2">
        <f>$G$5 / (1 + (($G$5 - $G$3) / $G$3) * EXP(-$G$4 * A73))</f>
        <v>0</v>
      </c>
      <c r="C73" s="2">
        <f>C72 + $G$4 * C72 * (1 - C72 / $G$5) * $G$6</f>
        <v>0</v>
      </c>
    </row>
    <row r="74" spans="1:3">
      <c r="A74" s="5">
        <f>A73 + $G$6</f>
        <v>0</v>
      </c>
      <c r="B74" s="5">
        <f>$G$5 / (1 + (($G$5 - $G$3) / $G$3) * EXP(-$G$4 * A74))</f>
        <v>0</v>
      </c>
      <c r="C74" s="5">
        <f>C73 + $G$4 * C73 * (1 - C73 / $G$5) * $G$6</f>
        <v>0</v>
      </c>
    </row>
    <row r="75" spans="1:3">
      <c r="A75" s="2">
        <f>A74 + $G$6</f>
        <v>0</v>
      </c>
      <c r="B75" s="2">
        <f>$G$5 / (1 + (($G$5 - $G$3) / $G$3) * EXP(-$G$4 * A75))</f>
        <v>0</v>
      </c>
      <c r="C75" s="2">
        <f>C74 + $G$4 * C74 * (1 - C74 / $G$5) * $G$6</f>
        <v>0</v>
      </c>
    </row>
    <row r="76" spans="1:3">
      <c r="A76" s="5">
        <f>A75 + $G$6</f>
        <v>0</v>
      </c>
      <c r="B76" s="5">
        <f>$G$5 / (1 + (($G$5 - $G$3) / $G$3) * EXP(-$G$4 * A76))</f>
        <v>0</v>
      </c>
      <c r="C76" s="5">
        <f>C75 + $G$4 * C75 * (1 - C75 / $G$5) * $G$6</f>
        <v>0</v>
      </c>
    </row>
    <row r="77" spans="1:3">
      <c r="A77" s="2">
        <f>A76 + $G$6</f>
        <v>0</v>
      </c>
      <c r="B77" s="2">
        <f>$G$5 / (1 + (($G$5 - $G$3) / $G$3) * EXP(-$G$4 * A77))</f>
        <v>0</v>
      </c>
      <c r="C77" s="2">
        <f>C76 + $G$4 * C76 * (1 - C76 / $G$5) * $G$6</f>
        <v>0</v>
      </c>
    </row>
    <row r="78" spans="1:3">
      <c r="A78" s="5">
        <f>A77 + $G$6</f>
        <v>0</v>
      </c>
      <c r="B78" s="5">
        <f>$G$5 / (1 + (($G$5 - $G$3) / $G$3) * EXP(-$G$4 * A78))</f>
        <v>0</v>
      </c>
      <c r="C78" s="5">
        <f>C77 + $G$4 * C77 * (1 - C77 / $G$5) * $G$6</f>
        <v>0</v>
      </c>
    </row>
    <row r="79" spans="1:3">
      <c r="A79" s="2">
        <f>A78 + $G$6</f>
        <v>0</v>
      </c>
      <c r="B79" s="2">
        <f>$G$5 / (1 + (($G$5 - $G$3) / $G$3) * EXP(-$G$4 * A79))</f>
        <v>0</v>
      </c>
      <c r="C79" s="2">
        <f>C78 + $G$4 * C78 * (1 - C78 / $G$5) * $G$6</f>
        <v>0</v>
      </c>
    </row>
    <row r="80" spans="1:3">
      <c r="A80" s="5">
        <f>A79 + $G$6</f>
        <v>0</v>
      </c>
      <c r="B80" s="5">
        <f>$G$5 / (1 + (($G$5 - $G$3) / $G$3) * EXP(-$G$4 * A80))</f>
        <v>0</v>
      </c>
      <c r="C80" s="5">
        <f>C79 + $G$4 * C79 * (1 - C79 / $G$5) * $G$6</f>
        <v>0</v>
      </c>
    </row>
    <row r="81" spans="1:3">
      <c r="A81" s="2">
        <f>A80 + $G$6</f>
        <v>0</v>
      </c>
      <c r="B81" s="2">
        <f>$G$5 / (1 + (($G$5 - $G$3) / $G$3) * EXP(-$G$4 * A81))</f>
        <v>0</v>
      </c>
      <c r="C81" s="2">
        <f>C80 + $G$4 * C80 * (1 - C80 / $G$5) * $G$6</f>
        <v>0</v>
      </c>
    </row>
    <row r="82" spans="1:3">
      <c r="A82" s="5">
        <f>A81 + $G$6</f>
        <v>0</v>
      </c>
      <c r="B82" s="5">
        <f>$G$5 / (1 + (($G$5 - $G$3) / $G$3) * EXP(-$G$4 * A82))</f>
        <v>0</v>
      </c>
      <c r="C82" s="5">
        <f>C81 + $G$4 * C81 * (1 - C81 / $G$5) * $G$6</f>
        <v>0</v>
      </c>
    </row>
    <row r="83" spans="1:3">
      <c r="A83" s="2">
        <f>A82 + $G$6</f>
        <v>0</v>
      </c>
      <c r="B83" s="2">
        <f>$G$5 / (1 + (($G$5 - $G$3) / $G$3) * EXP(-$G$4 * A83))</f>
        <v>0</v>
      </c>
      <c r="C83" s="2">
        <f>C82 + $G$4 * C82 * (1 - C82 / $G$5) * $G$6</f>
        <v>0</v>
      </c>
    </row>
    <row r="84" spans="1:3">
      <c r="A84" s="5">
        <f>A83 + $G$6</f>
        <v>0</v>
      </c>
      <c r="B84" s="5">
        <f>$G$5 / (1 + (($G$5 - $G$3) / $G$3) * EXP(-$G$4 * A84))</f>
        <v>0</v>
      </c>
      <c r="C84" s="5">
        <f>C83 + $G$4 * C83 * (1 - C83 / $G$5) * $G$6</f>
        <v>0</v>
      </c>
    </row>
    <row r="85" spans="1:3">
      <c r="A85" s="2">
        <f>A84 + $G$6</f>
        <v>0</v>
      </c>
      <c r="B85" s="2">
        <f>$G$5 / (1 + (($G$5 - $G$3) / $G$3) * EXP(-$G$4 * A85))</f>
        <v>0</v>
      </c>
      <c r="C85" s="2">
        <f>C84 + $G$4 * C84 * (1 - C84 / $G$5) * $G$6</f>
        <v>0</v>
      </c>
    </row>
    <row r="86" spans="1:3">
      <c r="A86" s="5">
        <f>A85 + $G$6</f>
        <v>0</v>
      </c>
      <c r="B86" s="5">
        <f>$G$5 / (1 + (($G$5 - $G$3) / $G$3) * EXP(-$G$4 * A86))</f>
        <v>0</v>
      </c>
      <c r="C86" s="5">
        <f>C85 + $G$4 * C85 * (1 - C85 / $G$5) * $G$6</f>
        <v>0</v>
      </c>
    </row>
    <row r="87" spans="1:3">
      <c r="A87" s="2">
        <f>A86 + $G$6</f>
        <v>0</v>
      </c>
      <c r="B87" s="2">
        <f>$G$5 / (1 + (($G$5 - $G$3) / $G$3) * EXP(-$G$4 * A87))</f>
        <v>0</v>
      </c>
      <c r="C87" s="2">
        <f>C86 + $G$4 * C86 * (1 - C86 / $G$5) * $G$6</f>
        <v>0</v>
      </c>
    </row>
    <row r="88" spans="1:3">
      <c r="A88" s="5">
        <f>A87 + $G$6</f>
        <v>0</v>
      </c>
      <c r="B88" s="5">
        <f>$G$5 / (1 + (($G$5 - $G$3) / $G$3) * EXP(-$G$4 * A88))</f>
        <v>0</v>
      </c>
      <c r="C88" s="5">
        <f>C87 + $G$4 * C87 * (1 - C87 / $G$5) * $G$6</f>
        <v>0</v>
      </c>
    </row>
    <row r="89" spans="1:3">
      <c r="A89" s="2">
        <f>A88 + $G$6</f>
        <v>0</v>
      </c>
      <c r="B89" s="2">
        <f>$G$5 / (1 + (($G$5 - $G$3) / $G$3) * EXP(-$G$4 * A89))</f>
        <v>0</v>
      </c>
      <c r="C89" s="2">
        <f>C88 + $G$4 * C88 * (1 - C88 / $G$5) * $G$6</f>
        <v>0</v>
      </c>
    </row>
    <row r="90" spans="1:3">
      <c r="A90" s="5">
        <f>A89 + $G$6</f>
        <v>0</v>
      </c>
      <c r="B90" s="5">
        <f>$G$5 / (1 + (($G$5 - $G$3) / $G$3) * EXP(-$G$4 * A90))</f>
        <v>0</v>
      </c>
      <c r="C90" s="5">
        <f>C89 + $G$4 * C89 * (1 - C89 / $G$5) * $G$6</f>
        <v>0</v>
      </c>
    </row>
    <row r="91" spans="1:3">
      <c r="A91" s="2">
        <f>A90 + $G$6</f>
        <v>0</v>
      </c>
      <c r="B91" s="2">
        <f>$G$5 / (1 + (($G$5 - $G$3) / $G$3) * EXP(-$G$4 * A91))</f>
        <v>0</v>
      </c>
      <c r="C91" s="2">
        <f>C90 + $G$4 * C90 * (1 - C90 / $G$5) * $G$6</f>
        <v>0</v>
      </c>
    </row>
    <row r="92" spans="1:3">
      <c r="A92" s="5">
        <f>A91 + $G$6</f>
        <v>0</v>
      </c>
      <c r="B92" s="5">
        <f>$G$5 / (1 + (($G$5 - $G$3) / $G$3) * EXP(-$G$4 * A92))</f>
        <v>0</v>
      </c>
      <c r="C92" s="5">
        <f>C91 + $G$4 * C91 * (1 - C91 / $G$5) * $G$6</f>
        <v>0</v>
      </c>
    </row>
    <row r="93" spans="1:3">
      <c r="A93" s="2">
        <f>A92 + $G$6</f>
        <v>0</v>
      </c>
      <c r="B93" s="2">
        <f>$G$5 / (1 + (($G$5 - $G$3) / $G$3) * EXP(-$G$4 * A93))</f>
        <v>0</v>
      </c>
      <c r="C93" s="2">
        <f>C92 + $G$4 * C92 * (1 - C92 / $G$5) * $G$6</f>
        <v>0</v>
      </c>
    </row>
    <row r="94" spans="1:3">
      <c r="A94" s="5">
        <f>A93 + $G$6</f>
        <v>0</v>
      </c>
      <c r="B94" s="5">
        <f>$G$5 / (1 + (($G$5 - $G$3) / $G$3) * EXP(-$G$4 * A94))</f>
        <v>0</v>
      </c>
      <c r="C94" s="5">
        <f>C93 + $G$4 * C93 * (1 - C93 / $G$5) * $G$6</f>
        <v>0</v>
      </c>
    </row>
    <row r="95" spans="1:3">
      <c r="A95" s="2">
        <f>A94 + $G$6</f>
        <v>0</v>
      </c>
      <c r="B95" s="2">
        <f>$G$5 / (1 + (($G$5 - $G$3) / $G$3) * EXP(-$G$4 * A95))</f>
        <v>0</v>
      </c>
      <c r="C95" s="2">
        <f>C94 + $G$4 * C94 * (1 - C94 / $G$5) * $G$6</f>
        <v>0</v>
      </c>
    </row>
    <row r="96" spans="1:3">
      <c r="A96" s="5">
        <f>A95 + $G$6</f>
        <v>0</v>
      </c>
      <c r="B96" s="5">
        <f>$G$5 / (1 + (($G$5 - $G$3) / $G$3) * EXP(-$G$4 * A96))</f>
        <v>0</v>
      </c>
      <c r="C96" s="5">
        <f>C95 + $G$4 * C95 * (1 - C95 / $G$5) * $G$6</f>
        <v>0</v>
      </c>
    </row>
    <row r="97" spans="1:3">
      <c r="A97" s="2">
        <f>A96 + $G$6</f>
        <v>0</v>
      </c>
      <c r="B97" s="2">
        <f>$G$5 / (1 + (($G$5 - $G$3) / $G$3) * EXP(-$G$4 * A97))</f>
        <v>0</v>
      </c>
      <c r="C97" s="2">
        <f>C96 + $G$4 * C96 * (1 - C96 / $G$5) * $G$6</f>
        <v>0</v>
      </c>
    </row>
    <row r="98" spans="1:3">
      <c r="A98" s="5">
        <f>A97 + $G$6</f>
        <v>0</v>
      </c>
      <c r="B98" s="5">
        <f>$G$5 / (1 + (($G$5 - $G$3) / $G$3) * EXP(-$G$4 * A98))</f>
        <v>0</v>
      </c>
      <c r="C98" s="5">
        <f>C97 + $G$4 * C97 * (1 - C97 / $G$5) * $G$6</f>
        <v>0</v>
      </c>
    </row>
    <row r="99" spans="1:3">
      <c r="A99" s="2">
        <f>A98 + $G$6</f>
        <v>0</v>
      </c>
      <c r="B99" s="2">
        <f>$G$5 / (1 + (($G$5 - $G$3) / $G$3) * EXP(-$G$4 * A99))</f>
        <v>0</v>
      </c>
      <c r="C99" s="2">
        <f>C98 + $G$4 * C98 * (1 - C98 / $G$5) * $G$6</f>
        <v>0</v>
      </c>
    </row>
    <row r="100" spans="1:3">
      <c r="A100" s="5">
        <f>A99 + $G$6</f>
        <v>0</v>
      </c>
      <c r="B100" s="5">
        <f>$G$5 / (1 + (($G$5 - $G$3) / $G$3) * EXP(-$G$4 * A100))</f>
        <v>0</v>
      </c>
      <c r="C100" s="5">
        <f>C99 + $G$4 * C99 * (1 - C99 / $G$5) * $G$6</f>
        <v>0</v>
      </c>
    </row>
    <row r="101" spans="1:3">
      <c r="A101" s="2">
        <f>A100 + $G$6</f>
        <v>0</v>
      </c>
      <c r="B101" s="2">
        <f>$G$5 / (1 + (($G$5 - $G$3) / $G$3) * EXP(-$G$4 * A101))</f>
        <v>0</v>
      </c>
      <c r="C101" s="2">
        <f>C100 + $G$4 * C100 * (1 - C100 / $G$5) * $G$6</f>
        <v>0</v>
      </c>
    </row>
    <row r="102" spans="1:3">
      <c r="A102" s="5">
        <f>A101 + $G$6</f>
        <v>0</v>
      </c>
      <c r="B102" s="5">
        <f>$G$5 / (1 + (($G$5 - $G$3) / $G$3) * EXP(-$G$4 * A102))</f>
        <v>0</v>
      </c>
      <c r="C102" s="5">
        <f>C101 + $G$4 * C101 * (1 - C101 / $G$5) * $G$6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Malthusian Model</vt:lpstr>
      <vt:lpstr>Logistic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2026-03-05T14:24:18Z</dcterms:created>
  <dcterms:modified xsi:type="dcterms:W3CDTF">2026-03-05T14:24:18Z</dcterms:modified>
</cp:coreProperties>
</file>