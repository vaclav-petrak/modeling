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clav/Documents/academy/teaching/modeling/lesson_1/other_resources/"/>
    </mc:Choice>
  </mc:AlternateContent>
  <xr:revisionPtr revIDLastSave="0" documentId="13_ncr:1_{03B2FFAC-1C0B-624A-AA1D-39FDCC81A6BA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Malthusian Model" sheetId="1" r:id="rId1"/>
    <sheet name="Logistic 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5" i="2"/>
  <c r="C4" i="2"/>
  <c r="B4" i="2"/>
  <c r="C4" i="1"/>
  <c r="B4" i="1"/>
  <c r="C5" i="2" l="1"/>
  <c r="B5" i="2"/>
  <c r="A6" i="2"/>
  <c r="C5" i="1"/>
  <c r="A6" i="1"/>
  <c r="B5" i="1"/>
  <c r="C6" i="2" l="1"/>
  <c r="B6" i="2"/>
  <c r="A7" i="2"/>
  <c r="B6" i="1"/>
  <c r="C6" i="1"/>
  <c r="A7" i="1"/>
  <c r="B7" i="2" l="1"/>
  <c r="C7" i="2"/>
  <c r="A8" i="2"/>
  <c r="A8" i="1"/>
  <c r="C7" i="1"/>
  <c r="B7" i="1"/>
  <c r="B8" i="2" l="1"/>
  <c r="A9" i="2"/>
  <c r="C8" i="2"/>
  <c r="B8" i="1"/>
  <c r="C8" i="1"/>
  <c r="A9" i="1"/>
  <c r="A10" i="2" l="1"/>
  <c r="B9" i="2"/>
  <c r="C9" i="2"/>
  <c r="C9" i="1"/>
  <c r="B9" i="1"/>
  <c r="A10" i="1"/>
  <c r="B10" i="2" l="1"/>
  <c r="A11" i="2"/>
  <c r="C10" i="2"/>
  <c r="C10" i="1"/>
  <c r="B10" i="1"/>
  <c r="A11" i="1"/>
  <c r="C11" i="2" l="1"/>
  <c r="B11" i="2"/>
  <c r="A12" i="2"/>
  <c r="B11" i="1"/>
  <c r="C11" i="1"/>
  <c r="A12" i="1"/>
  <c r="B12" i="2" l="1"/>
  <c r="A13" i="2"/>
  <c r="C12" i="2"/>
  <c r="B12" i="1"/>
  <c r="A13" i="1"/>
  <c r="C12" i="1"/>
  <c r="B13" i="2" l="1"/>
  <c r="C13" i="2"/>
  <c r="A14" i="2"/>
  <c r="A14" i="1"/>
  <c r="B13" i="1"/>
  <c r="C13" i="1"/>
  <c r="A15" i="2" l="1"/>
  <c r="B14" i="2"/>
  <c r="C14" i="2"/>
  <c r="C14" i="1"/>
  <c r="A15" i="1"/>
  <c r="B14" i="1"/>
  <c r="A16" i="2" l="1"/>
  <c r="C15" i="2"/>
  <c r="B15" i="2"/>
  <c r="B15" i="1"/>
  <c r="C15" i="1"/>
  <c r="A16" i="1"/>
  <c r="B16" i="2" l="1"/>
  <c r="A17" i="2"/>
  <c r="C16" i="2"/>
  <c r="B16" i="1"/>
  <c r="C16" i="1"/>
  <c r="A17" i="1"/>
  <c r="A18" i="2" l="1"/>
  <c r="B17" i="2"/>
  <c r="C17" i="2"/>
  <c r="A18" i="1"/>
  <c r="B17" i="1"/>
  <c r="C17" i="1"/>
  <c r="B18" i="2" l="1"/>
  <c r="C18" i="2"/>
  <c r="A19" i="2"/>
  <c r="A19" i="1"/>
  <c r="B18" i="1"/>
  <c r="C18" i="1"/>
  <c r="A20" i="2" l="1"/>
  <c r="B19" i="2"/>
  <c r="C19" i="2"/>
  <c r="C19" i="1"/>
  <c r="A20" i="1"/>
  <c r="B19" i="1"/>
  <c r="B20" i="2" l="1"/>
  <c r="A21" i="2"/>
  <c r="C20" i="2"/>
  <c r="C20" i="1"/>
  <c r="B20" i="1"/>
  <c r="A21" i="1"/>
  <c r="C21" i="2" l="1"/>
  <c r="B21" i="2"/>
  <c r="A22" i="2"/>
  <c r="A22" i="1"/>
  <c r="C21" i="1"/>
  <c r="B21" i="1"/>
  <c r="A23" i="2" l="1"/>
  <c r="B22" i="2"/>
  <c r="C22" i="2"/>
  <c r="C22" i="1"/>
  <c r="B22" i="1"/>
  <c r="A23" i="1"/>
  <c r="C23" i="2" l="1"/>
  <c r="B23" i="2"/>
  <c r="A24" i="2"/>
  <c r="B24" i="2" s="1"/>
  <c r="B23" i="1"/>
  <c r="C23" i="1"/>
  <c r="A24" i="1"/>
  <c r="C24" i="2" l="1"/>
  <c r="A25" i="2"/>
  <c r="B25" i="2" s="1"/>
  <c r="C24" i="1"/>
  <c r="A25" i="1"/>
  <c r="B24" i="1"/>
  <c r="A26" i="2" l="1"/>
  <c r="C25" i="2"/>
  <c r="A26" i="1"/>
  <c r="B25" i="1"/>
  <c r="C25" i="1"/>
  <c r="A27" i="2" l="1"/>
  <c r="C26" i="2"/>
  <c r="B26" i="2"/>
  <c r="A27" i="1"/>
  <c r="B26" i="1"/>
  <c r="C26" i="1"/>
  <c r="C27" i="2" l="1"/>
  <c r="B27" i="2"/>
  <c r="A28" i="2"/>
  <c r="A28" i="1"/>
  <c r="B27" i="1"/>
  <c r="C27" i="1"/>
  <c r="C28" i="2" l="1"/>
  <c r="B28" i="2"/>
  <c r="A29" i="2"/>
  <c r="C28" i="1"/>
  <c r="A29" i="1"/>
  <c r="B28" i="1"/>
  <c r="C29" i="2" l="1"/>
  <c r="B29" i="2"/>
  <c r="A30" i="2"/>
  <c r="C29" i="1"/>
  <c r="A30" i="1"/>
  <c r="B29" i="1"/>
  <c r="C30" i="2" l="1"/>
  <c r="B30" i="2"/>
  <c r="A31" i="2"/>
  <c r="C30" i="1"/>
  <c r="A31" i="1"/>
  <c r="B30" i="1"/>
  <c r="C31" i="2" l="1"/>
  <c r="B31" i="2"/>
  <c r="A32" i="2"/>
  <c r="C31" i="1"/>
  <c r="B31" i="1"/>
  <c r="A32" i="1"/>
  <c r="C32" i="2" l="1"/>
  <c r="B32" i="2"/>
  <c r="A33" i="2"/>
  <c r="B32" i="1"/>
  <c r="C32" i="1"/>
  <c r="A33" i="1"/>
  <c r="C33" i="2" l="1"/>
  <c r="B33" i="2"/>
  <c r="A34" i="2"/>
  <c r="A34" i="1"/>
  <c r="C33" i="1"/>
  <c r="B33" i="1"/>
  <c r="C34" i="2" l="1"/>
  <c r="B34" i="2"/>
  <c r="A35" i="2"/>
  <c r="C34" i="1"/>
  <c r="B34" i="1"/>
  <c r="A35" i="1"/>
  <c r="C35" i="2" l="1"/>
  <c r="B35" i="2"/>
  <c r="A36" i="2"/>
  <c r="A36" i="1"/>
  <c r="C35" i="1"/>
  <c r="B35" i="1"/>
  <c r="C36" i="2" l="1"/>
  <c r="B36" i="2"/>
  <c r="A37" i="2"/>
  <c r="A37" i="1"/>
  <c r="C36" i="1"/>
  <c r="B36" i="1"/>
  <c r="C37" i="2" l="1"/>
  <c r="B37" i="2"/>
  <c r="A38" i="2"/>
  <c r="B37" i="1"/>
  <c r="A38" i="1"/>
  <c r="C37" i="1"/>
  <c r="C38" i="2" l="1"/>
  <c r="B38" i="2"/>
  <c r="A39" i="2"/>
  <c r="B38" i="1"/>
  <c r="C38" i="1"/>
  <c r="A39" i="1"/>
  <c r="B39" i="2" l="1"/>
  <c r="A40" i="2"/>
  <c r="C39" i="2"/>
  <c r="C39" i="1"/>
  <c r="A40" i="1"/>
  <c r="B39" i="1"/>
  <c r="C40" i="2" l="1"/>
  <c r="B40" i="2"/>
  <c r="A41" i="2"/>
  <c r="C40" i="1"/>
  <c r="B40" i="1"/>
  <c r="A41" i="1"/>
  <c r="B41" i="2" l="1"/>
  <c r="A42" i="2"/>
  <c r="C41" i="2"/>
  <c r="C41" i="1"/>
  <c r="B41" i="1"/>
  <c r="A42" i="1"/>
  <c r="C42" i="2" l="1"/>
  <c r="B42" i="2"/>
  <c r="A43" i="2"/>
  <c r="B42" i="1"/>
  <c r="A43" i="1"/>
  <c r="C42" i="1"/>
  <c r="C43" i="2" l="1"/>
  <c r="B43" i="2"/>
  <c r="A44" i="2"/>
  <c r="B43" i="1"/>
  <c r="C43" i="1"/>
  <c r="A44" i="1"/>
  <c r="A45" i="2" l="1"/>
  <c r="B44" i="2"/>
  <c r="C44" i="2"/>
  <c r="B44" i="1"/>
  <c r="A45" i="1"/>
  <c r="C44" i="1"/>
  <c r="C45" i="2" l="1"/>
  <c r="B45" i="2"/>
  <c r="A46" i="2"/>
  <c r="B45" i="1"/>
  <c r="C45" i="1"/>
  <c r="A46" i="1"/>
  <c r="C46" i="2" l="1"/>
  <c r="B46" i="2"/>
  <c r="A47" i="2"/>
  <c r="B46" i="1"/>
  <c r="C46" i="1"/>
  <c r="A47" i="1"/>
  <c r="C47" i="2" l="1"/>
  <c r="B47" i="2"/>
  <c r="A48" i="2"/>
  <c r="B47" i="1"/>
  <c r="C47" i="1"/>
  <c r="A48" i="1"/>
  <c r="A49" i="2" l="1"/>
  <c r="B48" i="2"/>
  <c r="C48" i="2"/>
  <c r="B48" i="1"/>
  <c r="C48" i="1"/>
  <c r="A49" i="1"/>
  <c r="B49" i="2" l="1"/>
  <c r="C49" i="2"/>
  <c r="A50" i="2"/>
  <c r="B49" i="1"/>
  <c r="C49" i="1"/>
  <c r="A50" i="1"/>
  <c r="C50" i="2" l="1"/>
  <c r="B50" i="2"/>
  <c r="A51" i="2"/>
  <c r="B50" i="1"/>
  <c r="C50" i="1"/>
  <c r="A51" i="1"/>
  <c r="C51" i="2" l="1"/>
  <c r="B51" i="2"/>
  <c r="A52" i="2"/>
  <c r="B51" i="1"/>
  <c r="C51" i="1"/>
  <c r="A52" i="1"/>
  <c r="C52" i="2" l="1"/>
  <c r="B52" i="2"/>
  <c r="A53" i="2"/>
  <c r="B52" i="1"/>
  <c r="C52" i="1"/>
  <c r="A53" i="1"/>
  <c r="C53" i="2" l="1"/>
  <c r="B53" i="2"/>
  <c r="A54" i="2"/>
  <c r="B53" i="1"/>
  <c r="C53" i="1"/>
  <c r="A54" i="1"/>
  <c r="B54" i="2" l="1"/>
  <c r="C54" i="2"/>
  <c r="A55" i="2"/>
  <c r="B54" i="1"/>
  <c r="C54" i="1"/>
  <c r="A55" i="1"/>
  <c r="C55" i="2" l="1"/>
  <c r="B55" i="2"/>
  <c r="A56" i="2"/>
  <c r="B55" i="1"/>
  <c r="C55" i="1"/>
  <c r="A56" i="1"/>
  <c r="A57" i="2" l="1"/>
  <c r="B56" i="2"/>
  <c r="C56" i="2"/>
  <c r="B56" i="1"/>
  <c r="C56" i="1"/>
  <c r="A57" i="1"/>
  <c r="C57" i="2" l="1"/>
  <c r="B57" i="2"/>
  <c r="A58" i="2"/>
  <c r="B57" i="1"/>
  <c r="C57" i="1"/>
  <c r="A58" i="1"/>
  <c r="C58" i="2" l="1"/>
  <c r="A59" i="2"/>
  <c r="B58" i="2"/>
  <c r="B58" i="1"/>
  <c r="C58" i="1"/>
  <c r="A59" i="1"/>
  <c r="C59" i="2" l="1"/>
  <c r="A60" i="2"/>
  <c r="B59" i="2"/>
  <c r="B59" i="1"/>
  <c r="C59" i="1"/>
  <c r="A60" i="1"/>
  <c r="C60" i="2" l="1"/>
  <c r="B60" i="2"/>
  <c r="A61" i="2"/>
  <c r="B60" i="1"/>
  <c r="C60" i="1"/>
  <c r="A61" i="1"/>
  <c r="C61" i="2" l="1"/>
  <c r="B61" i="2"/>
  <c r="A62" i="2"/>
  <c r="B61" i="1"/>
  <c r="C61" i="1"/>
  <c r="A62" i="1"/>
  <c r="C62" i="2" l="1"/>
  <c r="A63" i="2"/>
  <c r="B62" i="2"/>
  <c r="B62" i="1"/>
  <c r="C62" i="1"/>
  <c r="A63" i="1"/>
  <c r="C63" i="2" l="1"/>
  <c r="B63" i="2"/>
  <c r="A64" i="2"/>
  <c r="B63" i="1"/>
  <c r="C63" i="1"/>
  <c r="A64" i="1"/>
  <c r="B64" i="2" l="1"/>
  <c r="C64" i="2"/>
  <c r="A65" i="2"/>
  <c r="B64" i="1"/>
  <c r="C64" i="1"/>
  <c r="A65" i="1"/>
  <c r="B65" i="2" l="1"/>
  <c r="C65" i="2"/>
  <c r="A66" i="2"/>
  <c r="B65" i="1"/>
  <c r="C65" i="1"/>
  <c r="A66" i="1"/>
  <c r="B66" i="2" l="1"/>
  <c r="C66" i="2"/>
  <c r="A67" i="2"/>
  <c r="B66" i="1"/>
  <c r="C66" i="1"/>
  <c r="A67" i="1"/>
  <c r="B67" i="2" l="1"/>
  <c r="C67" i="2"/>
  <c r="A68" i="2"/>
  <c r="B67" i="1"/>
  <c r="C67" i="1"/>
  <c r="A68" i="1"/>
  <c r="B68" i="2" l="1"/>
  <c r="C68" i="2"/>
  <c r="A69" i="2"/>
  <c r="B68" i="1"/>
  <c r="C68" i="1"/>
  <c r="A69" i="1"/>
  <c r="B69" i="2" l="1"/>
  <c r="C69" i="2"/>
  <c r="A70" i="2"/>
  <c r="B69" i="1"/>
  <c r="C69" i="1"/>
  <c r="A70" i="1"/>
  <c r="B70" i="2" l="1"/>
  <c r="C70" i="2"/>
  <c r="A71" i="2"/>
  <c r="B70" i="1"/>
  <c r="C70" i="1"/>
  <c r="A71" i="1"/>
  <c r="B71" i="2" l="1"/>
  <c r="C71" i="2"/>
  <c r="A72" i="2"/>
  <c r="B71" i="1"/>
  <c r="C71" i="1"/>
  <c r="A72" i="1"/>
  <c r="B72" i="2" l="1"/>
  <c r="C72" i="2"/>
  <c r="A73" i="2"/>
  <c r="B72" i="1"/>
  <c r="C72" i="1"/>
  <c r="A73" i="1"/>
  <c r="B73" i="2" l="1"/>
  <c r="C73" i="2"/>
  <c r="A74" i="2"/>
  <c r="B73" i="1"/>
  <c r="C73" i="1"/>
  <c r="A74" i="1"/>
  <c r="B74" i="2" l="1"/>
  <c r="C74" i="2"/>
  <c r="A75" i="2"/>
  <c r="B74" i="1"/>
  <c r="C74" i="1"/>
  <c r="A75" i="1"/>
  <c r="B75" i="2" l="1"/>
  <c r="C75" i="2"/>
  <c r="A76" i="2"/>
  <c r="B75" i="1"/>
  <c r="C75" i="1"/>
  <c r="A76" i="1"/>
  <c r="B76" i="2" l="1"/>
  <c r="C76" i="2"/>
  <c r="A77" i="2"/>
  <c r="B76" i="1"/>
  <c r="C76" i="1"/>
  <c r="A77" i="1"/>
  <c r="B77" i="2" l="1"/>
  <c r="C77" i="2"/>
  <c r="A78" i="2"/>
  <c r="B77" i="1"/>
  <c r="C77" i="1"/>
  <c r="A78" i="1"/>
  <c r="B78" i="2" l="1"/>
  <c r="C78" i="2"/>
  <c r="A79" i="2"/>
  <c r="B78" i="1"/>
  <c r="C78" i="1"/>
  <c r="A79" i="1"/>
  <c r="B79" i="2" l="1"/>
  <c r="C79" i="2"/>
  <c r="A80" i="2"/>
  <c r="B79" i="1"/>
  <c r="C79" i="1"/>
  <c r="A80" i="1"/>
  <c r="B80" i="2" l="1"/>
  <c r="C80" i="2"/>
  <c r="A81" i="2"/>
  <c r="B80" i="1"/>
  <c r="C80" i="1"/>
  <c r="A81" i="1"/>
  <c r="B81" i="2" l="1"/>
  <c r="C81" i="2"/>
  <c r="A82" i="2"/>
  <c r="B81" i="1"/>
  <c r="C81" i="1"/>
  <c r="A82" i="1"/>
  <c r="B82" i="2" l="1"/>
  <c r="C82" i="2"/>
  <c r="A83" i="2"/>
  <c r="B82" i="1"/>
  <c r="C82" i="1"/>
  <c r="A83" i="1"/>
  <c r="B83" i="2" l="1"/>
  <c r="C83" i="2"/>
  <c r="A84" i="2"/>
  <c r="B83" i="1"/>
  <c r="C83" i="1"/>
  <c r="A84" i="1"/>
  <c r="B84" i="2" l="1"/>
  <c r="C84" i="2"/>
  <c r="A85" i="2"/>
  <c r="B84" i="1"/>
  <c r="C84" i="1"/>
  <c r="A85" i="1"/>
  <c r="B85" i="2" l="1"/>
  <c r="C85" i="2"/>
  <c r="A86" i="2"/>
  <c r="B85" i="1"/>
  <c r="C85" i="1"/>
  <c r="A86" i="1"/>
  <c r="B86" i="2" l="1"/>
  <c r="C86" i="2"/>
  <c r="A87" i="2"/>
  <c r="B86" i="1"/>
  <c r="C86" i="1"/>
  <c r="A87" i="1"/>
  <c r="B87" i="2" l="1"/>
  <c r="C87" i="2"/>
  <c r="A88" i="2"/>
  <c r="B87" i="1"/>
  <c r="C87" i="1"/>
  <c r="A88" i="1"/>
  <c r="B88" i="2" l="1"/>
  <c r="C88" i="2"/>
  <c r="A89" i="2"/>
  <c r="B88" i="1"/>
  <c r="C88" i="1"/>
  <c r="A89" i="1"/>
  <c r="B89" i="2" l="1"/>
  <c r="C89" i="2"/>
  <c r="A90" i="2"/>
  <c r="B89" i="1"/>
  <c r="C89" i="1"/>
  <c r="A90" i="1"/>
  <c r="B90" i="2" l="1"/>
  <c r="C90" i="2"/>
  <c r="A91" i="2"/>
  <c r="B90" i="1"/>
  <c r="C90" i="1"/>
  <c r="A91" i="1"/>
  <c r="B91" i="2" l="1"/>
  <c r="C91" i="2"/>
  <c r="A92" i="2"/>
  <c r="B91" i="1"/>
  <c r="C91" i="1"/>
  <c r="A92" i="1"/>
  <c r="B92" i="2" l="1"/>
  <c r="C92" i="2"/>
  <c r="A93" i="2"/>
  <c r="B92" i="1"/>
  <c r="C92" i="1"/>
  <c r="A93" i="1"/>
  <c r="B93" i="2" l="1"/>
  <c r="C93" i="2"/>
  <c r="A94" i="2"/>
  <c r="B93" i="1"/>
  <c r="C93" i="1"/>
  <c r="A94" i="1"/>
  <c r="B94" i="2" l="1"/>
  <c r="C94" i="2"/>
  <c r="A95" i="2"/>
  <c r="B94" i="1"/>
  <c r="C94" i="1"/>
  <c r="A95" i="1"/>
  <c r="B95" i="2" l="1"/>
  <c r="C95" i="2"/>
  <c r="A96" i="2"/>
  <c r="B95" i="1"/>
  <c r="C95" i="1"/>
  <c r="A96" i="1"/>
  <c r="B96" i="2" l="1"/>
  <c r="C96" i="2"/>
  <c r="A97" i="2"/>
  <c r="B96" i="1"/>
  <c r="C96" i="1"/>
  <c r="A97" i="1"/>
  <c r="B97" i="2" l="1"/>
  <c r="C97" i="2"/>
  <c r="A98" i="2"/>
  <c r="B97" i="1"/>
  <c r="C97" i="1"/>
  <c r="A98" i="1"/>
  <c r="B98" i="2" l="1"/>
  <c r="C98" i="2"/>
  <c r="A99" i="2"/>
  <c r="B98" i="1"/>
  <c r="C98" i="1"/>
  <c r="A99" i="1"/>
  <c r="B99" i="2" l="1"/>
  <c r="C99" i="2"/>
  <c r="A100" i="2"/>
  <c r="B99" i="1"/>
  <c r="C99" i="1"/>
  <c r="A100" i="1"/>
  <c r="B100" i="2" l="1"/>
  <c r="C100" i="2"/>
  <c r="A101" i="2"/>
  <c r="B100" i="1"/>
  <c r="C100" i="1"/>
  <c r="A101" i="1"/>
  <c r="B101" i="2" l="1"/>
  <c r="C101" i="2"/>
  <c r="A102" i="2"/>
  <c r="B101" i="1"/>
  <c r="C101" i="1"/>
  <c r="A102" i="1"/>
  <c r="B102" i="2" l="1"/>
  <c r="C102" i="2"/>
  <c r="A103" i="2"/>
  <c r="B102" i="1"/>
  <c r="C102" i="1"/>
  <c r="A103" i="1"/>
  <c r="B103" i="2" l="1"/>
  <c r="C103" i="2"/>
  <c r="A104" i="2"/>
  <c r="B103" i="1"/>
  <c r="C103" i="1"/>
  <c r="A104" i="1"/>
  <c r="B104" i="2" l="1"/>
  <c r="C104" i="2"/>
  <c r="A105" i="2"/>
  <c r="B104" i="1"/>
  <c r="C104" i="1"/>
  <c r="A105" i="1"/>
  <c r="B105" i="2" l="1"/>
  <c r="C105" i="2"/>
  <c r="A106" i="2"/>
  <c r="B105" i="1"/>
  <c r="C105" i="1"/>
  <c r="A106" i="1"/>
  <c r="B106" i="2" l="1"/>
  <c r="C106" i="2"/>
  <c r="A107" i="2"/>
  <c r="B106" i="1"/>
  <c r="C106" i="1"/>
  <c r="A107" i="1"/>
  <c r="B107" i="2" l="1"/>
  <c r="C107" i="2"/>
  <c r="A108" i="2"/>
  <c r="B107" i="1"/>
  <c r="C107" i="1"/>
  <c r="A108" i="1"/>
  <c r="B108" i="2" l="1"/>
  <c r="C108" i="2"/>
  <c r="A109" i="2"/>
  <c r="B108" i="1"/>
  <c r="C108" i="1"/>
  <c r="A109" i="1"/>
  <c r="B109" i="2" l="1"/>
  <c r="C109" i="2"/>
  <c r="A110" i="2"/>
  <c r="B109" i="1"/>
  <c r="C109" i="1"/>
  <c r="A110" i="1"/>
  <c r="B110" i="2" l="1"/>
  <c r="C110" i="2"/>
  <c r="A111" i="2"/>
  <c r="B110" i="1"/>
  <c r="C110" i="1"/>
  <c r="A111" i="1"/>
  <c r="B111" i="2" l="1"/>
  <c r="C111" i="2"/>
  <c r="A112" i="2"/>
  <c r="B111" i="1"/>
  <c r="C111" i="1"/>
  <c r="A112" i="1"/>
  <c r="B112" i="2" l="1"/>
  <c r="C112" i="2"/>
  <c r="A113" i="2"/>
  <c r="B112" i="1"/>
  <c r="C112" i="1"/>
  <c r="A113" i="1"/>
  <c r="B113" i="2" l="1"/>
  <c r="C113" i="2"/>
  <c r="A114" i="2"/>
  <c r="B113" i="1"/>
  <c r="C113" i="1"/>
  <c r="A114" i="1"/>
  <c r="B114" i="2" l="1"/>
  <c r="C114" i="2"/>
  <c r="A115" i="2"/>
  <c r="B114" i="1"/>
  <c r="C114" i="1"/>
  <c r="A115" i="1"/>
  <c r="B115" i="2" l="1"/>
  <c r="C115" i="2"/>
  <c r="A116" i="2"/>
  <c r="B115" i="1"/>
  <c r="C115" i="1"/>
  <c r="A116" i="1"/>
  <c r="B116" i="2" l="1"/>
  <c r="C116" i="2"/>
  <c r="A117" i="2"/>
  <c r="B116" i="1"/>
  <c r="C116" i="1"/>
  <c r="A117" i="1"/>
  <c r="B117" i="2" l="1"/>
  <c r="C117" i="2"/>
  <c r="A118" i="2"/>
  <c r="B117" i="1"/>
  <c r="C117" i="1"/>
  <c r="A118" i="1"/>
  <c r="B118" i="2" l="1"/>
  <c r="C118" i="2"/>
  <c r="A119" i="2"/>
  <c r="B118" i="1"/>
  <c r="C118" i="1"/>
  <c r="A119" i="1"/>
  <c r="B119" i="2" l="1"/>
  <c r="C119" i="2"/>
  <c r="A120" i="2"/>
  <c r="B119" i="1"/>
  <c r="C119" i="1"/>
  <c r="A120" i="1"/>
  <c r="B120" i="2" l="1"/>
  <c r="C120" i="2"/>
  <c r="A121" i="2"/>
  <c r="B120" i="1"/>
  <c r="C120" i="1"/>
  <c r="A121" i="1"/>
  <c r="B121" i="2" l="1"/>
  <c r="C121" i="2"/>
  <c r="A122" i="2"/>
  <c r="B121" i="1"/>
  <c r="C121" i="1"/>
  <c r="A122" i="1"/>
  <c r="B122" i="2" l="1"/>
  <c r="C122" i="2"/>
  <c r="A123" i="2"/>
  <c r="B122" i="1"/>
  <c r="C122" i="1"/>
  <c r="A123" i="1"/>
  <c r="B123" i="2" l="1"/>
  <c r="C123" i="2"/>
  <c r="A124" i="2"/>
  <c r="B123" i="1"/>
  <c r="C123" i="1"/>
  <c r="A124" i="1"/>
  <c r="B124" i="2" l="1"/>
  <c r="C124" i="2"/>
  <c r="A125" i="2"/>
  <c r="B124" i="1"/>
  <c r="C124" i="1"/>
  <c r="A125" i="1"/>
  <c r="B125" i="2" l="1"/>
  <c r="C125" i="2"/>
  <c r="A126" i="2"/>
  <c r="B125" i="1"/>
  <c r="C125" i="1"/>
  <c r="A126" i="1"/>
  <c r="B126" i="2" l="1"/>
  <c r="C126" i="2"/>
  <c r="A127" i="2"/>
  <c r="B126" i="1"/>
  <c r="C126" i="1"/>
  <c r="A127" i="1"/>
  <c r="B127" i="2" l="1"/>
  <c r="C127" i="2"/>
  <c r="A128" i="2"/>
  <c r="B127" i="1"/>
  <c r="C127" i="1"/>
  <c r="A128" i="1"/>
  <c r="B128" i="2" l="1"/>
  <c r="C128" i="2"/>
  <c r="A129" i="2"/>
  <c r="B128" i="1"/>
  <c r="C128" i="1"/>
  <c r="A129" i="1"/>
  <c r="B129" i="2" l="1"/>
  <c r="C129" i="2"/>
  <c r="A130" i="2"/>
  <c r="B129" i="1"/>
  <c r="C129" i="1"/>
  <c r="A130" i="1"/>
  <c r="B130" i="2" l="1"/>
  <c r="C130" i="2"/>
  <c r="A131" i="2"/>
  <c r="B130" i="1"/>
  <c r="C130" i="1"/>
  <c r="A131" i="1"/>
  <c r="B131" i="2" l="1"/>
  <c r="C131" i="2"/>
  <c r="A132" i="2"/>
  <c r="B131" i="1"/>
  <c r="C131" i="1"/>
  <c r="A132" i="1"/>
  <c r="B132" i="2" l="1"/>
  <c r="C132" i="2"/>
  <c r="A133" i="2"/>
  <c r="B132" i="1"/>
  <c r="C132" i="1"/>
  <c r="A133" i="1"/>
  <c r="B133" i="2" l="1"/>
  <c r="C133" i="2"/>
  <c r="A134" i="2"/>
  <c r="B133" i="1"/>
  <c r="C133" i="1"/>
  <c r="A134" i="1"/>
  <c r="B134" i="2" l="1"/>
  <c r="C134" i="2"/>
  <c r="A135" i="2"/>
  <c r="B134" i="1"/>
  <c r="C134" i="1"/>
  <c r="A135" i="1"/>
  <c r="B135" i="2" l="1"/>
  <c r="C135" i="2"/>
  <c r="A136" i="2"/>
  <c r="B135" i="1"/>
  <c r="C135" i="1"/>
  <c r="A136" i="1"/>
  <c r="B136" i="2" l="1"/>
  <c r="C136" i="2"/>
  <c r="A137" i="2"/>
  <c r="B136" i="1"/>
  <c r="C136" i="1"/>
  <c r="A137" i="1"/>
  <c r="B137" i="2" l="1"/>
  <c r="C137" i="2"/>
  <c r="A138" i="2"/>
  <c r="B137" i="1"/>
  <c r="C137" i="1"/>
  <c r="A138" i="1"/>
  <c r="B138" i="2" l="1"/>
  <c r="C138" i="2"/>
  <c r="A139" i="2"/>
  <c r="B138" i="1"/>
  <c r="C138" i="1"/>
  <c r="A139" i="1"/>
  <c r="B139" i="2" l="1"/>
  <c r="C139" i="2"/>
  <c r="A140" i="2"/>
  <c r="B139" i="1"/>
  <c r="C139" i="1"/>
  <c r="A140" i="1"/>
  <c r="B140" i="2" l="1"/>
  <c r="C140" i="2"/>
  <c r="A141" i="2"/>
  <c r="B140" i="1"/>
  <c r="C140" i="1"/>
  <c r="A141" i="1"/>
  <c r="B141" i="2" l="1"/>
  <c r="C141" i="2"/>
  <c r="A142" i="2"/>
  <c r="B141" i="1"/>
  <c r="C141" i="1"/>
  <c r="A142" i="1"/>
  <c r="B142" i="2" l="1"/>
  <c r="C142" i="2"/>
  <c r="A143" i="2"/>
  <c r="B142" i="1"/>
  <c r="C142" i="1"/>
  <c r="A143" i="1"/>
  <c r="B143" i="2" l="1"/>
  <c r="C143" i="2"/>
  <c r="A144" i="2"/>
  <c r="B143" i="1"/>
  <c r="C143" i="1"/>
  <c r="A144" i="1"/>
  <c r="B144" i="2" l="1"/>
  <c r="C144" i="2"/>
  <c r="A145" i="2"/>
  <c r="B144" i="1"/>
  <c r="C144" i="1"/>
  <c r="A145" i="1"/>
  <c r="B145" i="2" l="1"/>
  <c r="C145" i="2"/>
  <c r="A146" i="2"/>
  <c r="B145" i="1"/>
  <c r="C145" i="1"/>
  <c r="A146" i="1"/>
  <c r="B146" i="2" l="1"/>
  <c r="C146" i="2"/>
  <c r="A147" i="2"/>
  <c r="B146" i="1"/>
  <c r="C146" i="1"/>
  <c r="A147" i="1"/>
  <c r="B147" i="2" l="1"/>
  <c r="C147" i="2"/>
  <c r="A148" i="2"/>
  <c r="B147" i="1"/>
  <c r="C147" i="1"/>
  <c r="A148" i="1"/>
  <c r="B148" i="2" l="1"/>
  <c r="C148" i="2"/>
  <c r="A149" i="2"/>
  <c r="B148" i="1"/>
  <c r="C148" i="1"/>
  <c r="A149" i="1"/>
  <c r="B149" i="2" l="1"/>
  <c r="C149" i="2"/>
  <c r="A150" i="2"/>
  <c r="B149" i="1"/>
  <c r="C149" i="1"/>
  <c r="A150" i="1"/>
  <c r="B150" i="2" l="1"/>
  <c r="C150" i="2"/>
  <c r="A151" i="2"/>
  <c r="B150" i="1"/>
  <c r="C150" i="1"/>
  <c r="A151" i="1"/>
  <c r="B151" i="2" l="1"/>
  <c r="C151" i="2"/>
  <c r="A152" i="2"/>
  <c r="B151" i="1"/>
  <c r="C151" i="1"/>
  <c r="A152" i="1"/>
  <c r="B152" i="2" l="1"/>
  <c r="C152" i="2"/>
  <c r="A153" i="2"/>
  <c r="B152" i="1"/>
  <c r="C152" i="1"/>
  <c r="A153" i="1"/>
  <c r="B153" i="2" l="1"/>
  <c r="C153" i="2"/>
  <c r="A154" i="2"/>
  <c r="B153" i="1"/>
  <c r="C153" i="1"/>
  <c r="A154" i="1"/>
  <c r="B154" i="2" l="1"/>
  <c r="C154" i="2"/>
  <c r="A155" i="2"/>
  <c r="B154" i="1"/>
  <c r="C154" i="1"/>
  <c r="A155" i="1"/>
  <c r="B155" i="2" l="1"/>
  <c r="C155" i="2"/>
  <c r="A156" i="2"/>
  <c r="B155" i="1"/>
  <c r="C155" i="1"/>
  <c r="A156" i="1"/>
  <c r="B156" i="2" l="1"/>
  <c r="C156" i="2"/>
  <c r="A157" i="2"/>
  <c r="B156" i="1"/>
  <c r="C156" i="1"/>
  <c r="A157" i="1"/>
  <c r="B157" i="2" l="1"/>
  <c r="C157" i="2"/>
  <c r="A158" i="2"/>
  <c r="B157" i="1"/>
  <c r="C157" i="1"/>
  <c r="A158" i="1"/>
  <c r="B158" i="2" l="1"/>
  <c r="C158" i="2"/>
  <c r="A159" i="2"/>
  <c r="B158" i="1"/>
  <c r="C158" i="1"/>
  <c r="A159" i="1"/>
  <c r="B159" i="2" l="1"/>
  <c r="C159" i="2"/>
  <c r="A160" i="2"/>
  <c r="B159" i="1"/>
  <c r="C159" i="1"/>
  <c r="A160" i="1"/>
  <c r="B160" i="2" l="1"/>
  <c r="C160" i="2"/>
  <c r="A161" i="2"/>
  <c r="B160" i="1"/>
  <c r="C160" i="1"/>
  <c r="A161" i="1"/>
  <c r="B161" i="2" l="1"/>
  <c r="C161" i="2"/>
  <c r="A162" i="2"/>
  <c r="B161" i="1"/>
  <c r="C161" i="1"/>
  <c r="A162" i="1"/>
  <c r="B162" i="2" l="1"/>
  <c r="C162" i="2"/>
  <c r="A163" i="2"/>
  <c r="B162" i="1"/>
  <c r="C162" i="1"/>
  <c r="A163" i="1"/>
  <c r="B163" i="2" l="1"/>
  <c r="C163" i="2"/>
  <c r="A164" i="2"/>
  <c r="B163" i="1"/>
  <c r="C163" i="1"/>
  <c r="A164" i="1"/>
  <c r="B164" i="2" l="1"/>
  <c r="C164" i="2"/>
  <c r="A165" i="2"/>
  <c r="B164" i="1"/>
  <c r="C164" i="1"/>
  <c r="A165" i="1"/>
  <c r="B165" i="2" l="1"/>
  <c r="C165" i="2"/>
  <c r="A166" i="2"/>
  <c r="B165" i="1"/>
  <c r="C165" i="1"/>
  <c r="A166" i="1"/>
  <c r="B166" i="2" l="1"/>
  <c r="C166" i="2"/>
  <c r="A167" i="2"/>
  <c r="B166" i="1"/>
  <c r="C166" i="1"/>
  <c r="A167" i="1"/>
  <c r="B167" i="2" l="1"/>
  <c r="C167" i="2"/>
  <c r="A168" i="2"/>
  <c r="B167" i="1"/>
  <c r="C167" i="1"/>
  <c r="A168" i="1"/>
  <c r="B168" i="2" l="1"/>
  <c r="C168" i="2"/>
  <c r="A169" i="2"/>
  <c r="B168" i="1"/>
  <c r="C168" i="1"/>
  <c r="A169" i="1"/>
  <c r="B169" i="2" l="1"/>
  <c r="C169" i="2"/>
  <c r="A170" i="2"/>
  <c r="B169" i="1"/>
  <c r="C169" i="1"/>
  <c r="A170" i="1"/>
  <c r="B170" i="2" l="1"/>
  <c r="C170" i="2"/>
  <c r="A171" i="2"/>
  <c r="B170" i="1"/>
  <c r="C170" i="1"/>
  <c r="A171" i="1"/>
  <c r="B171" i="2" l="1"/>
  <c r="C171" i="2"/>
  <c r="A172" i="2"/>
  <c r="B171" i="1"/>
  <c r="C171" i="1"/>
  <c r="A172" i="1"/>
  <c r="B172" i="2" l="1"/>
  <c r="C172" i="2"/>
  <c r="A173" i="2"/>
  <c r="B172" i="1"/>
  <c r="C172" i="1"/>
  <c r="A173" i="1"/>
  <c r="B173" i="2" l="1"/>
  <c r="C173" i="2"/>
  <c r="A174" i="2"/>
  <c r="B173" i="1"/>
  <c r="C173" i="1"/>
  <c r="A174" i="1"/>
  <c r="B174" i="2" l="1"/>
  <c r="C174" i="2"/>
  <c r="A175" i="2"/>
  <c r="B174" i="1"/>
  <c r="C174" i="1"/>
  <c r="A175" i="1"/>
  <c r="B175" i="2" l="1"/>
  <c r="C175" i="2"/>
  <c r="A176" i="2"/>
  <c r="B175" i="1"/>
  <c r="C175" i="1"/>
  <c r="A176" i="1"/>
  <c r="B176" i="2" l="1"/>
  <c r="C176" i="2"/>
  <c r="A177" i="2"/>
  <c r="B176" i="1"/>
  <c r="C176" i="1"/>
  <c r="A177" i="1"/>
  <c r="B177" i="2" l="1"/>
  <c r="C177" i="2"/>
  <c r="A178" i="2"/>
  <c r="B177" i="1"/>
  <c r="C177" i="1"/>
  <c r="A178" i="1"/>
  <c r="B178" i="2" l="1"/>
  <c r="C178" i="2"/>
  <c r="A179" i="2"/>
  <c r="B178" i="1"/>
  <c r="C178" i="1"/>
  <c r="A179" i="1"/>
  <c r="B179" i="2" l="1"/>
  <c r="C179" i="2"/>
  <c r="A180" i="2"/>
  <c r="B179" i="1"/>
  <c r="C179" i="1"/>
  <c r="A180" i="1"/>
  <c r="B180" i="2" l="1"/>
  <c r="C180" i="2"/>
  <c r="A181" i="2"/>
  <c r="B180" i="1"/>
  <c r="C180" i="1"/>
  <c r="A181" i="1"/>
  <c r="B181" i="2" l="1"/>
  <c r="C181" i="2"/>
  <c r="A182" i="2"/>
  <c r="B181" i="1"/>
  <c r="C181" i="1"/>
  <c r="A182" i="1"/>
  <c r="B182" i="2" l="1"/>
  <c r="C182" i="2"/>
  <c r="A183" i="2"/>
  <c r="B182" i="1"/>
  <c r="C182" i="1"/>
  <c r="A183" i="1"/>
  <c r="B183" i="2" l="1"/>
  <c r="C183" i="2"/>
  <c r="A184" i="2"/>
  <c r="B183" i="1"/>
  <c r="C183" i="1"/>
  <c r="A184" i="1"/>
  <c r="B184" i="2" l="1"/>
  <c r="C184" i="2"/>
  <c r="A185" i="2"/>
  <c r="B184" i="1"/>
  <c r="C184" i="1"/>
  <c r="A185" i="1"/>
  <c r="B185" i="2" l="1"/>
  <c r="C185" i="2"/>
  <c r="A186" i="2"/>
  <c r="B185" i="1"/>
  <c r="C185" i="1"/>
  <c r="A186" i="1"/>
  <c r="B186" i="2" l="1"/>
  <c r="C186" i="2"/>
  <c r="A187" i="2"/>
  <c r="B186" i="1"/>
  <c r="C186" i="1"/>
  <c r="A187" i="1"/>
  <c r="B187" i="2" l="1"/>
  <c r="C187" i="2"/>
  <c r="A188" i="2"/>
  <c r="B187" i="1"/>
  <c r="C187" i="1"/>
  <c r="A188" i="1"/>
  <c r="B188" i="2" l="1"/>
  <c r="C188" i="2"/>
  <c r="A189" i="2"/>
  <c r="B188" i="1"/>
  <c r="C188" i="1"/>
  <c r="A189" i="1"/>
  <c r="B189" i="2" l="1"/>
  <c r="C189" i="2"/>
  <c r="A190" i="2"/>
  <c r="B189" i="1"/>
  <c r="C189" i="1"/>
  <c r="A190" i="1"/>
  <c r="B190" i="2" l="1"/>
  <c r="C190" i="2"/>
  <c r="A191" i="2"/>
  <c r="B190" i="1"/>
  <c r="C190" i="1"/>
  <c r="A191" i="1"/>
  <c r="B191" i="2" l="1"/>
  <c r="C191" i="2"/>
  <c r="A192" i="2"/>
  <c r="B191" i="1"/>
  <c r="C191" i="1"/>
  <c r="A192" i="1"/>
  <c r="B192" i="2" l="1"/>
  <c r="C192" i="2"/>
  <c r="A193" i="2"/>
  <c r="B192" i="1"/>
  <c r="C192" i="1"/>
  <c r="A193" i="1"/>
  <c r="B193" i="2" l="1"/>
  <c r="C193" i="2"/>
  <c r="A194" i="2"/>
  <c r="B193" i="1"/>
  <c r="C193" i="1"/>
  <c r="A194" i="1"/>
  <c r="B194" i="2" l="1"/>
  <c r="C194" i="2"/>
  <c r="A195" i="2"/>
  <c r="B194" i="1"/>
  <c r="C194" i="1"/>
  <c r="A195" i="1"/>
  <c r="B195" i="2" l="1"/>
  <c r="C195" i="2"/>
  <c r="A196" i="2"/>
  <c r="B195" i="1"/>
  <c r="C195" i="1"/>
  <c r="A196" i="1"/>
  <c r="B196" i="2" l="1"/>
  <c r="C196" i="2"/>
  <c r="A197" i="2"/>
  <c r="B196" i="1"/>
  <c r="C196" i="1"/>
  <c r="A197" i="1"/>
  <c r="B197" i="2" l="1"/>
  <c r="C197" i="2"/>
  <c r="A198" i="2"/>
  <c r="B197" i="1"/>
  <c r="C197" i="1"/>
  <c r="A198" i="1"/>
  <c r="B198" i="2" l="1"/>
  <c r="C198" i="2"/>
  <c r="A199" i="2"/>
  <c r="B198" i="1"/>
  <c r="C198" i="1"/>
  <c r="A199" i="1"/>
  <c r="B199" i="2" l="1"/>
  <c r="C199" i="2"/>
  <c r="A200" i="2"/>
  <c r="B199" i="1"/>
  <c r="C199" i="1"/>
  <c r="A200" i="1"/>
  <c r="B200" i="2" l="1"/>
  <c r="C200" i="2"/>
  <c r="A201" i="2"/>
  <c r="B200" i="1"/>
  <c r="C200" i="1"/>
  <c r="A201" i="1"/>
  <c r="B201" i="2" l="1"/>
  <c r="C201" i="2"/>
  <c r="A202" i="2"/>
  <c r="B201" i="1"/>
  <c r="C201" i="1"/>
  <c r="A202" i="1"/>
  <c r="B202" i="2" l="1"/>
  <c r="C202" i="2"/>
  <c r="A203" i="2"/>
  <c r="B202" i="1"/>
  <c r="C202" i="1"/>
  <c r="A203" i="1"/>
  <c r="B203" i="2" l="1"/>
  <c r="C203" i="2"/>
  <c r="A204" i="2"/>
  <c r="B203" i="1"/>
  <c r="C203" i="1"/>
  <c r="A204" i="1"/>
  <c r="B204" i="2" l="1"/>
  <c r="C204" i="2"/>
  <c r="A205" i="2"/>
  <c r="B204" i="1"/>
  <c r="C204" i="1"/>
  <c r="A205" i="1"/>
  <c r="B205" i="2" l="1"/>
  <c r="C205" i="2"/>
  <c r="A206" i="2"/>
  <c r="B205" i="1"/>
  <c r="C205" i="1"/>
  <c r="A206" i="1"/>
  <c r="B206" i="2" l="1"/>
  <c r="C206" i="2"/>
  <c r="A207" i="2"/>
  <c r="B206" i="1"/>
  <c r="C206" i="1"/>
  <c r="A207" i="1"/>
  <c r="B207" i="2" l="1"/>
  <c r="C207" i="2"/>
  <c r="A208" i="2"/>
  <c r="B207" i="1"/>
  <c r="C207" i="1"/>
  <c r="A208" i="1"/>
  <c r="B208" i="2" l="1"/>
  <c r="C208" i="2"/>
  <c r="A209" i="2"/>
  <c r="B208" i="1"/>
  <c r="C208" i="1"/>
  <c r="A209" i="1"/>
  <c r="B209" i="2" l="1"/>
  <c r="C209" i="2"/>
  <c r="A210" i="2"/>
  <c r="B209" i="1"/>
  <c r="C209" i="1"/>
  <c r="A210" i="1"/>
  <c r="B210" i="2" l="1"/>
  <c r="C210" i="2"/>
  <c r="A211" i="2"/>
  <c r="B210" i="1"/>
  <c r="C210" i="1"/>
  <c r="A211" i="1"/>
  <c r="B211" i="2" l="1"/>
  <c r="C211" i="2"/>
  <c r="A212" i="2"/>
  <c r="B211" i="1"/>
  <c r="C211" i="1"/>
  <c r="A212" i="1"/>
  <c r="B212" i="2" l="1"/>
  <c r="C212" i="2"/>
  <c r="A213" i="2"/>
  <c r="B212" i="1"/>
  <c r="C212" i="1"/>
  <c r="A213" i="1"/>
  <c r="B213" i="2" l="1"/>
  <c r="C213" i="2"/>
  <c r="A214" i="2"/>
  <c r="B213" i="1"/>
  <c r="C213" i="1"/>
  <c r="A214" i="1"/>
  <c r="B214" i="2" l="1"/>
  <c r="C214" i="2"/>
  <c r="A215" i="2"/>
  <c r="B214" i="1"/>
  <c r="C214" i="1"/>
  <c r="A215" i="1"/>
  <c r="B215" i="2" l="1"/>
  <c r="C215" i="2"/>
  <c r="A216" i="2"/>
  <c r="B215" i="1"/>
  <c r="C215" i="1"/>
  <c r="A216" i="1"/>
  <c r="B216" i="2" l="1"/>
  <c r="C216" i="2"/>
  <c r="A217" i="2"/>
  <c r="B216" i="1"/>
  <c r="C216" i="1"/>
  <c r="A217" i="1"/>
  <c r="B217" i="2" l="1"/>
  <c r="C217" i="2"/>
  <c r="A218" i="2"/>
  <c r="B217" i="1"/>
  <c r="C217" i="1"/>
  <c r="A218" i="1"/>
  <c r="B218" i="2" l="1"/>
  <c r="C218" i="2"/>
  <c r="A219" i="2"/>
  <c r="B218" i="1"/>
  <c r="C218" i="1"/>
  <c r="A219" i="1"/>
  <c r="B219" i="2" l="1"/>
  <c r="C219" i="2"/>
  <c r="A220" i="2"/>
  <c r="B219" i="1"/>
  <c r="C219" i="1"/>
  <c r="A220" i="1"/>
  <c r="B220" i="2" l="1"/>
  <c r="C220" i="2"/>
  <c r="A221" i="2"/>
  <c r="B220" i="1"/>
  <c r="C220" i="1"/>
  <c r="A221" i="1"/>
  <c r="B221" i="2" l="1"/>
  <c r="C221" i="2"/>
  <c r="A222" i="2"/>
  <c r="B221" i="1"/>
  <c r="C221" i="1"/>
  <c r="A222" i="1"/>
  <c r="B222" i="2" l="1"/>
  <c r="C222" i="2"/>
  <c r="A223" i="2"/>
  <c r="B222" i="1"/>
  <c r="C222" i="1"/>
  <c r="A223" i="1"/>
  <c r="B223" i="2" l="1"/>
  <c r="C223" i="2"/>
  <c r="A224" i="2"/>
  <c r="B223" i="1"/>
  <c r="C223" i="1"/>
  <c r="A224" i="1"/>
  <c r="B224" i="2" l="1"/>
  <c r="C224" i="2"/>
  <c r="A225" i="2"/>
  <c r="B224" i="1"/>
  <c r="C224" i="1"/>
  <c r="A225" i="1"/>
  <c r="B225" i="2" l="1"/>
  <c r="C225" i="2"/>
  <c r="A226" i="2"/>
  <c r="B225" i="1"/>
  <c r="C225" i="1"/>
  <c r="A226" i="1"/>
  <c r="B226" i="2" l="1"/>
  <c r="C226" i="2"/>
  <c r="A227" i="2"/>
  <c r="B226" i="1"/>
  <c r="C226" i="1"/>
  <c r="A227" i="1"/>
  <c r="B227" i="2" l="1"/>
  <c r="C227" i="2"/>
  <c r="A228" i="2"/>
  <c r="B227" i="1"/>
  <c r="C227" i="1"/>
  <c r="A228" i="1"/>
  <c r="B228" i="2" l="1"/>
  <c r="C228" i="2"/>
  <c r="A229" i="2"/>
  <c r="B228" i="1"/>
  <c r="C228" i="1"/>
  <c r="A229" i="1"/>
  <c r="B229" i="2" l="1"/>
  <c r="C229" i="2"/>
  <c r="A230" i="2"/>
  <c r="B229" i="1"/>
  <c r="C229" i="1"/>
  <c r="A230" i="1"/>
  <c r="B230" i="2" l="1"/>
  <c r="C230" i="2"/>
  <c r="A231" i="2"/>
  <c r="B230" i="1"/>
  <c r="C230" i="1"/>
  <c r="A231" i="1"/>
  <c r="B231" i="2" l="1"/>
  <c r="C231" i="2"/>
  <c r="A232" i="2"/>
  <c r="B231" i="1"/>
  <c r="C231" i="1"/>
  <c r="A232" i="1"/>
  <c r="B232" i="2" l="1"/>
  <c r="C232" i="2"/>
  <c r="A233" i="2"/>
  <c r="B232" i="1"/>
  <c r="C232" i="1"/>
  <c r="A233" i="1"/>
  <c r="B233" i="2" l="1"/>
  <c r="C233" i="2"/>
  <c r="A234" i="2"/>
  <c r="B233" i="1"/>
  <c r="C233" i="1"/>
  <c r="A234" i="1"/>
  <c r="B234" i="2" l="1"/>
  <c r="C234" i="2"/>
  <c r="A235" i="2"/>
  <c r="B234" i="1"/>
  <c r="C234" i="1"/>
  <c r="A235" i="1"/>
  <c r="B235" i="2" l="1"/>
  <c r="C235" i="2"/>
  <c r="A236" i="2"/>
  <c r="B235" i="1"/>
  <c r="C235" i="1"/>
  <c r="A236" i="1"/>
  <c r="B236" i="2" l="1"/>
  <c r="C236" i="2"/>
  <c r="A237" i="2"/>
  <c r="B236" i="1"/>
  <c r="C236" i="1"/>
  <c r="A237" i="1"/>
  <c r="B237" i="2" l="1"/>
  <c r="C237" i="2"/>
  <c r="A238" i="2"/>
  <c r="B237" i="1"/>
  <c r="C237" i="1"/>
  <c r="A238" i="1"/>
  <c r="B238" i="2" l="1"/>
  <c r="C238" i="2"/>
  <c r="A239" i="2"/>
  <c r="B238" i="1"/>
  <c r="C238" i="1"/>
  <c r="A239" i="1"/>
  <c r="B239" i="2" l="1"/>
  <c r="C239" i="2"/>
  <c r="A240" i="2"/>
  <c r="B239" i="1"/>
  <c r="C239" i="1"/>
  <c r="A240" i="1"/>
  <c r="B240" i="2" l="1"/>
  <c r="C240" i="2"/>
  <c r="A241" i="2"/>
  <c r="B240" i="1"/>
  <c r="C240" i="1"/>
  <c r="A241" i="1"/>
  <c r="B241" i="2" l="1"/>
  <c r="C241" i="2"/>
  <c r="A242" i="2"/>
  <c r="B241" i="1"/>
  <c r="C241" i="1"/>
  <c r="A242" i="1"/>
  <c r="B242" i="2" l="1"/>
  <c r="C242" i="2"/>
  <c r="A243" i="2"/>
  <c r="B242" i="1"/>
  <c r="C242" i="1"/>
  <c r="A243" i="1"/>
  <c r="B243" i="2" l="1"/>
  <c r="C243" i="2"/>
  <c r="A244" i="2"/>
  <c r="B243" i="1"/>
  <c r="C243" i="1"/>
  <c r="A244" i="1"/>
  <c r="B244" i="2" l="1"/>
  <c r="C244" i="2"/>
  <c r="A245" i="2"/>
  <c r="B244" i="1"/>
  <c r="C244" i="1"/>
  <c r="A245" i="1"/>
  <c r="B245" i="2" l="1"/>
  <c r="C245" i="2"/>
  <c r="A246" i="2"/>
  <c r="B245" i="1"/>
  <c r="C245" i="1"/>
  <c r="A246" i="1"/>
  <c r="B246" i="2" l="1"/>
  <c r="C246" i="2"/>
  <c r="A247" i="2"/>
  <c r="B246" i="1"/>
  <c r="C246" i="1"/>
  <c r="A247" i="1"/>
  <c r="B247" i="2" l="1"/>
  <c r="C247" i="2"/>
  <c r="A248" i="2"/>
  <c r="B247" i="1"/>
  <c r="C247" i="1"/>
  <c r="A248" i="1"/>
  <c r="B248" i="2" l="1"/>
  <c r="C248" i="2"/>
  <c r="A249" i="2"/>
  <c r="B248" i="1"/>
  <c r="C248" i="1"/>
  <c r="A249" i="1"/>
  <c r="B249" i="2" l="1"/>
  <c r="C249" i="2"/>
  <c r="A250" i="2"/>
  <c r="B249" i="1"/>
  <c r="C249" i="1"/>
  <c r="A250" i="1"/>
  <c r="B250" i="2" l="1"/>
  <c r="C250" i="2"/>
  <c r="A251" i="2"/>
  <c r="B250" i="1"/>
  <c r="C250" i="1"/>
  <c r="A251" i="1"/>
  <c r="B251" i="2" l="1"/>
  <c r="C251" i="2"/>
  <c r="A252" i="2"/>
  <c r="B251" i="1"/>
  <c r="C251" i="1"/>
  <c r="A252" i="1"/>
  <c r="B252" i="2" l="1"/>
  <c r="C252" i="2"/>
  <c r="A253" i="2"/>
  <c r="B252" i="1"/>
  <c r="C252" i="1"/>
  <c r="A253" i="1"/>
  <c r="B253" i="2" l="1"/>
  <c r="C253" i="2"/>
  <c r="A254" i="2"/>
  <c r="B253" i="1"/>
  <c r="C253" i="1"/>
  <c r="A254" i="1"/>
  <c r="B254" i="2" l="1"/>
  <c r="A255" i="2"/>
  <c r="C254" i="2"/>
  <c r="B254" i="1"/>
  <c r="C254" i="1"/>
  <c r="A255" i="1"/>
  <c r="A256" i="2" l="1"/>
  <c r="B255" i="2"/>
  <c r="C255" i="2"/>
  <c r="B255" i="1"/>
  <c r="C255" i="1"/>
  <c r="A256" i="1"/>
  <c r="C256" i="2" l="1"/>
  <c r="B256" i="2"/>
  <c r="A257" i="2"/>
  <c r="B256" i="1"/>
  <c r="C256" i="1"/>
  <c r="A257" i="1"/>
  <c r="C257" i="2" l="1"/>
  <c r="B257" i="2"/>
  <c r="A258" i="2"/>
  <c r="B257" i="1"/>
  <c r="C257" i="1"/>
  <c r="A258" i="1"/>
  <c r="A259" i="2" l="1"/>
  <c r="B258" i="2"/>
  <c r="C258" i="2"/>
  <c r="B258" i="1"/>
  <c r="C258" i="1"/>
  <c r="A259" i="1"/>
  <c r="C259" i="2" l="1"/>
  <c r="A260" i="2"/>
  <c r="B259" i="2"/>
  <c r="B259" i="1"/>
  <c r="C259" i="1"/>
  <c r="A260" i="1"/>
  <c r="C260" i="2" l="1"/>
  <c r="B260" i="2"/>
  <c r="A261" i="2"/>
  <c r="B260" i="1"/>
  <c r="C260" i="1"/>
  <c r="A261" i="1"/>
  <c r="C261" i="2" l="1"/>
  <c r="B261" i="2"/>
  <c r="A262" i="2"/>
  <c r="B261" i="1"/>
  <c r="C261" i="1"/>
  <c r="A262" i="1"/>
  <c r="C262" i="2" l="1"/>
  <c r="B262" i="2"/>
  <c r="A263" i="2"/>
  <c r="B262" i="1"/>
  <c r="C262" i="1"/>
  <c r="A263" i="1"/>
  <c r="C263" i="2" l="1"/>
  <c r="B263" i="2"/>
  <c r="A264" i="2"/>
  <c r="B263" i="1"/>
  <c r="C263" i="1"/>
  <c r="A264" i="1"/>
  <c r="C264" i="2" l="1"/>
  <c r="A265" i="2"/>
  <c r="B264" i="2"/>
  <c r="B264" i="1"/>
  <c r="C264" i="1"/>
  <c r="A265" i="1"/>
  <c r="C265" i="2" l="1"/>
  <c r="B265" i="2"/>
  <c r="A266" i="2"/>
  <c r="B265" i="1"/>
  <c r="C265" i="1"/>
  <c r="A266" i="1"/>
  <c r="C266" i="2" l="1"/>
  <c r="A267" i="2"/>
  <c r="B266" i="2"/>
  <c r="B266" i="1"/>
  <c r="C266" i="1"/>
  <c r="A267" i="1"/>
  <c r="B267" i="2" l="1"/>
  <c r="C267" i="2"/>
  <c r="A268" i="2"/>
  <c r="B267" i="1"/>
  <c r="C267" i="1"/>
  <c r="A268" i="1"/>
  <c r="C268" i="2" l="1"/>
  <c r="B268" i="2"/>
  <c r="A269" i="2"/>
  <c r="B268" i="1"/>
  <c r="C268" i="1"/>
  <c r="A269" i="1"/>
  <c r="B269" i="2" l="1"/>
  <c r="A270" i="2"/>
  <c r="C269" i="2"/>
  <c r="B269" i="1"/>
  <c r="C269" i="1"/>
  <c r="A270" i="1"/>
  <c r="A271" i="2" l="1"/>
  <c r="B270" i="2"/>
  <c r="C270" i="2"/>
  <c r="B270" i="1"/>
  <c r="C270" i="1"/>
  <c r="A271" i="1"/>
  <c r="C271" i="2" l="1"/>
  <c r="B271" i="2"/>
  <c r="A272" i="2"/>
  <c r="B271" i="1"/>
  <c r="C271" i="1"/>
  <c r="A272" i="1"/>
  <c r="C272" i="2" l="1"/>
  <c r="B272" i="2"/>
  <c r="A273" i="2"/>
  <c r="B272" i="1"/>
  <c r="C272" i="1"/>
  <c r="A273" i="1"/>
  <c r="B273" i="2" l="1"/>
  <c r="A274" i="2"/>
  <c r="C273" i="2"/>
  <c r="B273" i="1"/>
  <c r="C273" i="1"/>
  <c r="A274" i="1"/>
  <c r="C274" i="2" l="1"/>
  <c r="B274" i="2"/>
  <c r="A275" i="2"/>
  <c r="B274" i="1"/>
  <c r="C274" i="1"/>
  <c r="A275" i="1"/>
  <c r="B275" i="2" l="1"/>
  <c r="A276" i="2"/>
  <c r="C275" i="2"/>
  <c r="B275" i="1"/>
  <c r="C275" i="1"/>
  <c r="A276" i="1"/>
  <c r="C276" i="2" l="1"/>
  <c r="B276" i="2"/>
  <c r="A277" i="2"/>
  <c r="B276" i="1"/>
  <c r="C276" i="1"/>
  <c r="A277" i="1"/>
  <c r="C277" i="2" l="1"/>
  <c r="A278" i="2"/>
  <c r="B277" i="2"/>
  <c r="B277" i="1"/>
  <c r="C277" i="1"/>
  <c r="A278" i="1"/>
  <c r="B278" i="2" l="1"/>
  <c r="C278" i="2"/>
  <c r="A279" i="2"/>
  <c r="B278" i="1"/>
  <c r="C278" i="1"/>
  <c r="A279" i="1"/>
  <c r="B279" i="2" l="1"/>
  <c r="C279" i="2"/>
  <c r="A280" i="2"/>
  <c r="B279" i="1"/>
  <c r="C279" i="1"/>
  <c r="A280" i="1"/>
  <c r="B280" i="2" l="1"/>
  <c r="C280" i="2"/>
  <c r="A281" i="2"/>
  <c r="B280" i="1"/>
  <c r="C280" i="1"/>
  <c r="A281" i="1"/>
  <c r="B281" i="2" l="1"/>
  <c r="C281" i="2"/>
  <c r="A282" i="2"/>
  <c r="B281" i="1"/>
  <c r="C281" i="1"/>
  <c r="A282" i="1"/>
  <c r="B282" i="2" l="1"/>
  <c r="C282" i="2"/>
  <c r="A283" i="2"/>
  <c r="B282" i="1"/>
  <c r="C282" i="1"/>
  <c r="A283" i="1"/>
  <c r="B283" i="2" l="1"/>
  <c r="C283" i="2"/>
  <c r="A284" i="2"/>
  <c r="B283" i="1"/>
  <c r="C283" i="1"/>
  <c r="A284" i="1"/>
  <c r="B284" i="2" l="1"/>
  <c r="C284" i="2"/>
  <c r="A285" i="2"/>
  <c r="B284" i="1"/>
  <c r="C284" i="1"/>
  <c r="A285" i="1"/>
  <c r="B285" i="2" l="1"/>
  <c r="C285" i="2"/>
  <c r="A286" i="2"/>
  <c r="B285" i="1"/>
  <c r="C285" i="1"/>
  <c r="A286" i="1"/>
  <c r="B286" i="2" l="1"/>
  <c r="C286" i="2"/>
  <c r="A287" i="2"/>
  <c r="B286" i="1"/>
  <c r="C286" i="1"/>
  <c r="A287" i="1"/>
  <c r="B287" i="2" l="1"/>
  <c r="C287" i="2"/>
  <c r="A288" i="2"/>
  <c r="B287" i="1"/>
  <c r="C287" i="1"/>
  <c r="A288" i="1"/>
  <c r="B288" i="2" l="1"/>
  <c r="C288" i="2"/>
  <c r="A289" i="2"/>
  <c r="B288" i="1"/>
  <c r="C288" i="1"/>
  <c r="A289" i="1"/>
  <c r="B289" i="2" l="1"/>
  <c r="C289" i="2"/>
  <c r="A290" i="2"/>
  <c r="B289" i="1"/>
  <c r="C289" i="1"/>
  <c r="A290" i="1"/>
  <c r="B290" i="2" l="1"/>
  <c r="C290" i="2"/>
  <c r="A291" i="2"/>
  <c r="B290" i="1"/>
  <c r="C290" i="1"/>
  <c r="A291" i="1"/>
  <c r="B291" i="2" l="1"/>
  <c r="C291" i="2"/>
  <c r="A292" i="2"/>
  <c r="B291" i="1"/>
  <c r="C291" i="1"/>
  <c r="A292" i="1"/>
  <c r="B292" i="2" l="1"/>
  <c r="C292" i="2"/>
  <c r="A293" i="2"/>
  <c r="B292" i="1"/>
  <c r="C292" i="1"/>
  <c r="A293" i="1"/>
  <c r="B293" i="2" l="1"/>
  <c r="C293" i="2"/>
  <c r="A294" i="2"/>
  <c r="B293" i="1"/>
  <c r="C293" i="1"/>
  <c r="A294" i="1"/>
  <c r="B294" i="2" l="1"/>
  <c r="C294" i="2"/>
  <c r="A295" i="2"/>
  <c r="B294" i="1"/>
  <c r="C294" i="1"/>
  <c r="A295" i="1"/>
  <c r="B295" i="2" l="1"/>
  <c r="C295" i="2"/>
  <c r="A296" i="2"/>
  <c r="B295" i="1"/>
  <c r="C295" i="1"/>
  <c r="A296" i="1"/>
  <c r="B296" i="2" l="1"/>
  <c r="C296" i="2"/>
  <c r="A297" i="2"/>
  <c r="B296" i="1"/>
  <c r="C296" i="1"/>
  <c r="A297" i="1"/>
  <c r="B297" i="2" l="1"/>
  <c r="C297" i="2"/>
  <c r="A298" i="2"/>
  <c r="B297" i="1"/>
  <c r="C297" i="1"/>
  <c r="A298" i="1"/>
  <c r="B298" i="2" l="1"/>
  <c r="C298" i="2"/>
  <c r="A299" i="2"/>
  <c r="B298" i="1"/>
  <c r="C298" i="1"/>
  <c r="A299" i="1"/>
  <c r="B299" i="2" l="1"/>
  <c r="C299" i="2"/>
  <c r="A300" i="2"/>
  <c r="B299" i="1"/>
  <c r="C299" i="1"/>
  <c r="A300" i="1"/>
  <c r="B300" i="2" l="1"/>
  <c r="C300" i="2"/>
  <c r="A301" i="2"/>
  <c r="B300" i="1"/>
  <c r="C300" i="1"/>
  <c r="A301" i="1"/>
  <c r="B301" i="2" l="1"/>
  <c r="C301" i="2"/>
  <c r="A302" i="2"/>
  <c r="B301" i="1"/>
  <c r="C301" i="1"/>
  <c r="A302" i="1"/>
  <c r="B302" i="2" l="1"/>
  <c r="C302" i="2"/>
  <c r="A303" i="2"/>
  <c r="B302" i="1"/>
  <c r="C302" i="1"/>
  <c r="A303" i="1"/>
  <c r="B303" i="2" l="1"/>
  <c r="C303" i="2"/>
  <c r="A304" i="2"/>
  <c r="B303" i="1"/>
  <c r="C303" i="1"/>
  <c r="A304" i="1"/>
  <c r="B304" i="2" l="1"/>
  <c r="C304" i="2"/>
  <c r="A305" i="2"/>
  <c r="B304" i="1"/>
  <c r="C304" i="1"/>
  <c r="A305" i="1"/>
  <c r="B305" i="2" l="1"/>
  <c r="C305" i="2"/>
  <c r="A306" i="2"/>
  <c r="B305" i="1"/>
  <c r="C305" i="1"/>
  <c r="A306" i="1"/>
  <c r="B306" i="2" l="1"/>
  <c r="C306" i="2"/>
  <c r="A307" i="2"/>
  <c r="B306" i="1"/>
  <c r="C306" i="1"/>
  <c r="A307" i="1"/>
  <c r="B307" i="2" l="1"/>
  <c r="C307" i="2"/>
  <c r="A308" i="2"/>
  <c r="B307" i="1"/>
  <c r="C307" i="1"/>
  <c r="A308" i="1"/>
  <c r="B308" i="2" l="1"/>
  <c r="C308" i="2"/>
  <c r="A309" i="2"/>
  <c r="B308" i="1"/>
  <c r="C308" i="1"/>
  <c r="A309" i="1"/>
  <c r="B309" i="2" l="1"/>
  <c r="C309" i="2"/>
  <c r="A310" i="2"/>
  <c r="B309" i="1"/>
  <c r="C309" i="1"/>
  <c r="A310" i="1"/>
  <c r="B310" i="2" l="1"/>
  <c r="C310" i="2"/>
  <c r="A311" i="2"/>
  <c r="B310" i="1"/>
  <c r="C310" i="1"/>
  <c r="A311" i="1"/>
  <c r="B311" i="2" l="1"/>
  <c r="C311" i="2"/>
  <c r="A312" i="2"/>
  <c r="B311" i="1"/>
  <c r="C311" i="1"/>
  <c r="A312" i="1"/>
  <c r="B312" i="2" l="1"/>
  <c r="C312" i="2"/>
  <c r="A313" i="2"/>
  <c r="B312" i="1"/>
  <c r="C312" i="1"/>
  <c r="A313" i="1"/>
  <c r="B313" i="2" l="1"/>
  <c r="C313" i="2"/>
  <c r="A314" i="2"/>
  <c r="B313" i="1"/>
  <c r="C313" i="1"/>
  <c r="A314" i="1"/>
  <c r="B314" i="2" l="1"/>
  <c r="C314" i="2"/>
  <c r="A315" i="2"/>
  <c r="B314" i="1"/>
  <c r="C314" i="1"/>
  <c r="A315" i="1"/>
  <c r="B315" i="2" l="1"/>
  <c r="C315" i="2"/>
  <c r="A316" i="2"/>
  <c r="B315" i="1"/>
  <c r="C315" i="1"/>
  <c r="A316" i="1"/>
  <c r="B316" i="2" l="1"/>
  <c r="C316" i="2"/>
  <c r="A317" i="2"/>
  <c r="B316" i="1"/>
  <c r="C316" i="1"/>
  <c r="A317" i="1"/>
  <c r="B317" i="2" l="1"/>
  <c r="C317" i="2"/>
  <c r="A318" i="2"/>
  <c r="B317" i="1"/>
  <c r="C317" i="1"/>
  <c r="A318" i="1"/>
  <c r="B318" i="2" l="1"/>
  <c r="C318" i="2"/>
  <c r="A319" i="2"/>
  <c r="B318" i="1"/>
  <c r="C318" i="1"/>
  <c r="A319" i="1"/>
  <c r="B319" i="2" l="1"/>
  <c r="C319" i="2"/>
  <c r="A320" i="2"/>
  <c r="B319" i="1"/>
  <c r="C319" i="1"/>
  <c r="A320" i="1"/>
  <c r="B320" i="2" l="1"/>
  <c r="C320" i="2"/>
  <c r="A321" i="2"/>
  <c r="B320" i="1"/>
  <c r="C320" i="1"/>
  <c r="A321" i="1"/>
  <c r="B321" i="2" l="1"/>
  <c r="C321" i="2"/>
  <c r="A322" i="2"/>
  <c r="B321" i="1"/>
  <c r="C321" i="1"/>
  <c r="A322" i="1"/>
  <c r="B322" i="2" l="1"/>
  <c r="C322" i="2"/>
  <c r="A323" i="2"/>
  <c r="B322" i="1"/>
  <c r="C322" i="1"/>
  <c r="A323" i="1"/>
  <c r="B323" i="2" l="1"/>
  <c r="C323" i="2"/>
  <c r="A324" i="2"/>
  <c r="B323" i="1"/>
  <c r="C323" i="1"/>
  <c r="A324" i="1"/>
  <c r="B324" i="2" l="1"/>
  <c r="C324" i="2"/>
  <c r="A325" i="2"/>
  <c r="B324" i="1"/>
  <c r="C324" i="1"/>
  <c r="A325" i="1"/>
  <c r="B325" i="2" l="1"/>
  <c r="C325" i="2"/>
  <c r="A326" i="2"/>
  <c r="B325" i="1"/>
  <c r="C325" i="1"/>
  <c r="A326" i="1"/>
  <c r="B326" i="2" l="1"/>
  <c r="C326" i="2"/>
  <c r="A327" i="2"/>
  <c r="B326" i="1"/>
  <c r="C326" i="1"/>
  <c r="A327" i="1"/>
  <c r="B327" i="2" l="1"/>
  <c r="C327" i="2"/>
  <c r="A328" i="2"/>
  <c r="B327" i="1"/>
  <c r="C327" i="1"/>
  <c r="A328" i="1"/>
  <c r="B328" i="2" l="1"/>
  <c r="C328" i="2"/>
  <c r="A329" i="2"/>
  <c r="B328" i="1"/>
  <c r="C328" i="1"/>
  <c r="A329" i="1"/>
  <c r="B329" i="2" l="1"/>
  <c r="C329" i="2"/>
  <c r="A330" i="2"/>
  <c r="B329" i="1"/>
  <c r="C329" i="1"/>
  <c r="A330" i="1"/>
  <c r="B330" i="2" l="1"/>
  <c r="C330" i="2"/>
  <c r="A331" i="2"/>
  <c r="B330" i="1"/>
  <c r="C330" i="1"/>
  <c r="A331" i="1"/>
  <c r="B331" i="2" l="1"/>
  <c r="C331" i="2"/>
  <c r="A332" i="2"/>
  <c r="B331" i="1"/>
  <c r="C331" i="1"/>
  <c r="A332" i="1"/>
  <c r="B332" i="2" l="1"/>
  <c r="C332" i="2"/>
  <c r="A333" i="2"/>
  <c r="B332" i="1"/>
  <c r="C332" i="1"/>
  <c r="A333" i="1"/>
  <c r="B333" i="2" l="1"/>
  <c r="C333" i="2"/>
  <c r="A334" i="2"/>
  <c r="B333" i="1"/>
  <c r="C333" i="1"/>
  <c r="A334" i="1"/>
  <c r="B334" i="2" l="1"/>
  <c r="C334" i="2"/>
  <c r="A335" i="2"/>
  <c r="B334" i="1"/>
  <c r="C334" i="1"/>
  <c r="A335" i="1"/>
  <c r="B335" i="2" l="1"/>
  <c r="C335" i="2"/>
  <c r="A336" i="2"/>
  <c r="B335" i="1"/>
  <c r="C335" i="1"/>
  <c r="A336" i="1"/>
  <c r="B336" i="2" l="1"/>
  <c r="C336" i="2"/>
  <c r="A337" i="2"/>
  <c r="B336" i="1"/>
  <c r="C336" i="1"/>
  <c r="A337" i="1"/>
  <c r="B337" i="2" l="1"/>
  <c r="C337" i="2"/>
  <c r="A338" i="2"/>
  <c r="B337" i="1"/>
  <c r="C337" i="1"/>
  <c r="A338" i="1"/>
  <c r="B338" i="2" l="1"/>
  <c r="C338" i="2"/>
  <c r="A339" i="2"/>
  <c r="B338" i="1"/>
  <c r="C338" i="1"/>
  <c r="A339" i="1"/>
  <c r="B339" i="2" l="1"/>
  <c r="C339" i="2"/>
  <c r="A340" i="2"/>
  <c r="B339" i="1"/>
  <c r="C339" i="1"/>
  <c r="A340" i="1"/>
  <c r="B340" i="2" l="1"/>
  <c r="C340" i="2"/>
  <c r="A341" i="2"/>
  <c r="B340" i="1"/>
  <c r="C340" i="1"/>
  <c r="A341" i="1"/>
  <c r="B341" i="2" l="1"/>
  <c r="C341" i="2"/>
  <c r="A342" i="2"/>
  <c r="B341" i="1"/>
  <c r="C341" i="1"/>
  <c r="A342" i="1"/>
  <c r="B342" i="2" l="1"/>
  <c r="C342" i="2"/>
  <c r="A343" i="2"/>
  <c r="B342" i="1"/>
  <c r="C342" i="1"/>
  <c r="A343" i="1"/>
  <c r="B343" i="2" l="1"/>
  <c r="C343" i="2"/>
  <c r="A344" i="2"/>
  <c r="B343" i="1"/>
  <c r="C343" i="1"/>
  <c r="A344" i="1"/>
  <c r="B344" i="2" l="1"/>
  <c r="C344" i="2"/>
  <c r="A345" i="2"/>
  <c r="B344" i="1"/>
  <c r="C344" i="1"/>
  <c r="A345" i="1"/>
  <c r="B345" i="2" l="1"/>
  <c r="C345" i="2"/>
  <c r="A346" i="2"/>
  <c r="B345" i="1"/>
  <c r="C345" i="1"/>
  <c r="A346" i="1"/>
  <c r="B346" i="2" l="1"/>
  <c r="C346" i="2"/>
  <c r="A347" i="2"/>
  <c r="B346" i="1"/>
  <c r="C346" i="1"/>
  <c r="A347" i="1"/>
  <c r="B347" i="2" l="1"/>
  <c r="C347" i="2"/>
  <c r="A348" i="2"/>
  <c r="B347" i="1"/>
  <c r="C347" i="1"/>
  <c r="A348" i="1"/>
  <c r="B348" i="2" l="1"/>
  <c r="C348" i="2"/>
  <c r="A349" i="2"/>
  <c r="B348" i="1"/>
  <c r="C348" i="1"/>
  <c r="A349" i="1"/>
  <c r="B349" i="2" l="1"/>
  <c r="C349" i="2"/>
  <c r="A350" i="2"/>
  <c r="B349" i="1"/>
  <c r="C349" i="1"/>
  <c r="A350" i="1"/>
  <c r="B350" i="2" l="1"/>
  <c r="C350" i="2"/>
  <c r="A351" i="2"/>
  <c r="B350" i="1"/>
  <c r="C350" i="1"/>
  <c r="A351" i="1"/>
  <c r="B351" i="2" l="1"/>
  <c r="C351" i="2"/>
  <c r="A352" i="2"/>
  <c r="B351" i="1"/>
  <c r="C351" i="1"/>
  <c r="A352" i="1"/>
  <c r="B352" i="2" l="1"/>
  <c r="C352" i="2"/>
  <c r="A353" i="2"/>
  <c r="B352" i="1"/>
  <c r="C352" i="1"/>
  <c r="A353" i="1"/>
  <c r="B353" i="2" l="1"/>
  <c r="C353" i="2"/>
  <c r="A354" i="2"/>
  <c r="B353" i="1"/>
  <c r="C353" i="1"/>
  <c r="A354" i="1"/>
  <c r="B354" i="2" l="1"/>
  <c r="C354" i="2"/>
  <c r="A355" i="2"/>
  <c r="B354" i="1"/>
  <c r="C354" i="1"/>
  <c r="A355" i="1"/>
  <c r="B355" i="2" l="1"/>
  <c r="C355" i="2"/>
  <c r="A356" i="2"/>
  <c r="B355" i="1"/>
  <c r="C355" i="1"/>
  <c r="A356" i="1"/>
  <c r="B356" i="2" l="1"/>
  <c r="C356" i="2"/>
  <c r="A357" i="2"/>
  <c r="B356" i="1"/>
  <c r="C356" i="1"/>
  <c r="A357" i="1"/>
  <c r="B357" i="2" l="1"/>
  <c r="C357" i="2"/>
  <c r="A358" i="2"/>
  <c r="B357" i="1"/>
  <c r="C357" i="1"/>
  <c r="A358" i="1"/>
  <c r="B358" i="2" l="1"/>
  <c r="C358" i="2"/>
  <c r="A359" i="2"/>
  <c r="B358" i="1"/>
  <c r="C358" i="1"/>
  <c r="A359" i="1"/>
  <c r="B359" i="2" l="1"/>
  <c r="C359" i="2"/>
  <c r="A360" i="2"/>
  <c r="B359" i="1"/>
  <c r="C359" i="1"/>
  <c r="A360" i="1"/>
  <c r="B360" i="2" l="1"/>
  <c r="C360" i="2"/>
  <c r="A361" i="2"/>
  <c r="B360" i="1"/>
  <c r="C360" i="1"/>
  <c r="A361" i="1"/>
  <c r="B361" i="2" l="1"/>
  <c r="C361" i="2"/>
  <c r="A362" i="2"/>
  <c r="B361" i="1"/>
  <c r="C361" i="1"/>
  <c r="A362" i="1"/>
  <c r="B362" i="2" l="1"/>
  <c r="C362" i="2"/>
  <c r="A363" i="2"/>
  <c r="B362" i="1"/>
  <c r="C362" i="1"/>
  <c r="A363" i="1"/>
  <c r="B363" i="2" l="1"/>
  <c r="C363" i="2"/>
  <c r="A364" i="2"/>
  <c r="B363" i="1"/>
  <c r="C363" i="1"/>
  <c r="A364" i="1"/>
  <c r="B364" i="2" l="1"/>
  <c r="C364" i="2"/>
  <c r="A365" i="2"/>
  <c r="B364" i="1"/>
  <c r="C364" i="1"/>
  <c r="A365" i="1"/>
  <c r="B365" i="2" l="1"/>
  <c r="C365" i="2"/>
  <c r="A366" i="2"/>
  <c r="B365" i="1"/>
  <c r="C365" i="1"/>
  <c r="A366" i="1"/>
  <c r="B366" i="2" l="1"/>
  <c r="C366" i="2"/>
  <c r="A367" i="2"/>
  <c r="B366" i="1"/>
  <c r="C366" i="1"/>
  <c r="A367" i="1"/>
  <c r="B367" i="2" l="1"/>
  <c r="C367" i="2"/>
  <c r="A368" i="2"/>
  <c r="B367" i="1"/>
  <c r="C367" i="1"/>
  <c r="A368" i="1"/>
  <c r="B368" i="2" l="1"/>
  <c r="C368" i="2"/>
  <c r="A369" i="2"/>
  <c r="B368" i="1"/>
  <c r="C368" i="1"/>
  <c r="A369" i="1"/>
  <c r="B369" i="2" l="1"/>
  <c r="C369" i="2"/>
  <c r="A370" i="2"/>
  <c r="B369" i="1"/>
  <c r="C369" i="1"/>
  <c r="A370" i="1"/>
  <c r="B370" i="2" l="1"/>
  <c r="C370" i="2"/>
  <c r="A371" i="2"/>
  <c r="B370" i="1"/>
  <c r="C370" i="1"/>
  <c r="A371" i="1"/>
  <c r="B371" i="2" l="1"/>
  <c r="C371" i="2"/>
  <c r="A372" i="2"/>
  <c r="B371" i="1"/>
  <c r="C371" i="1"/>
  <c r="A372" i="1"/>
  <c r="B372" i="2" l="1"/>
  <c r="C372" i="2"/>
  <c r="A373" i="2"/>
  <c r="B372" i="1"/>
  <c r="C372" i="1"/>
  <c r="A373" i="1"/>
  <c r="B373" i="2" l="1"/>
  <c r="C373" i="2"/>
  <c r="A374" i="2"/>
  <c r="B373" i="1"/>
  <c r="C373" i="1"/>
  <c r="A374" i="1"/>
  <c r="B374" i="2" l="1"/>
  <c r="C374" i="2"/>
  <c r="A375" i="2"/>
  <c r="B374" i="1"/>
  <c r="C374" i="1"/>
  <c r="A375" i="1"/>
  <c r="B375" i="2" l="1"/>
  <c r="C375" i="2"/>
  <c r="A376" i="2"/>
  <c r="B375" i="1"/>
  <c r="C375" i="1"/>
  <c r="A376" i="1"/>
  <c r="B376" i="2" l="1"/>
  <c r="C376" i="2"/>
  <c r="A377" i="2"/>
  <c r="B376" i="1"/>
  <c r="C376" i="1"/>
  <c r="A377" i="1"/>
  <c r="B377" i="2" l="1"/>
  <c r="C377" i="2"/>
  <c r="A378" i="2"/>
  <c r="B377" i="1"/>
  <c r="C377" i="1"/>
  <c r="A378" i="1"/>
  <c r="B378" i="2" l="1"/>
  <c r="C378" i="2"/>
  <c r="A379" i="2"/>
  <c r="B378" i="1"/>
  <c r="C378" i="1"/>
  <c r="A379" i="1"/>
  <c r="B379" i="2" l="1"/>
  <c r="C379" i="2"/>
  <c r="A380" i="2"/>
  <c r="C379" i="1"/>
  <c r="A380" i="1"/>
  <c r="B379" i="1"/>
  <c r="B380" i="2" l="1"/>
  <c r="C380" i="2"/>
  <c r="A381" i="2"/>
  <c r="B380" i="1"/>
  <c r="A381" i="1"/>
  <c r="C380" i="1"/>
  <c r="B381" i="2" l="1"/>
  <c r="C381" i="2"/>
  <c r="A382" i="2"/>
  <c r="C381" i="1"/>
  <c r="A382" i="1"/>
  <c r="B381" i="1"/>
  <c r="B382" i="2" l="1"/>
  <c r="C382" i="2"/>
  <c r="A383" i="2"/>
  <c r="A383" i="1"/>
  <c r="B382" i="1"/>
  <c r="C382" i="1"/>
  <c r="B383" i="2" l="1"/>
  <c r="C383" i="2"/>
  <c r="A384" i="2"/>
  <c r="A384" i="1"/>
  <c r="C383" i="1"/>
  <c r="B383" i="1"/>
  <c r="B384" i="2" l="1"/>
  <c r="C384" i="2"/>
  <c r="A385" i="2"/>
  <c r="C384" i="1"/>
  <c r="B384" i="1"/>
  <c r="A385" i="1"/>
  <c r="B385" i="2" l="1"/>
  <c r="C385" i="2"/>
  <c r="A386" i="2"/>
  <c r="A386" i="1"/>
  <c r="B385" i="1"/>
  <c r="C385" i="1"/>
  <c r="B386" i="2" l="1"/>
  <c r="C386" i="2"/>
  <c r="A387" i="2"/>
  <c r="C386" i="1"/>
  <c r="B386" i="1"/>
  <c r="A387" i="1"/>
  <c r="B387" i="2" l="1"/>
  <c r="C387" i="2"/>
  <c r="A388" i="2"/>
  <c r="B387" i="1"/>
  <c r="A388" i="1"/>
  <c r="C387" i="1"/>
  <c r="B388" i="2" l="1"/>
  <c r="C388" i="2"/>
  <c r="A389" i="2"/>
  <c r="A389" i="1"/>
  <c r="B388" i="1"/>
  <c r="C388" i="1"/>
  <c r="B389" i="2" l="1"/>
  <c r="C389" i="2"/>
  <c r="A390" i="2"/>
  <c r="B389" i="1"/>
  <c r="A390" i="1"/>
  <c r="C389" i="1"/>
  <c r="B390" i="2" l="1"/>
  <c r="C390" i="2"/>
  <c r="A391" i="2"/>
  <c r="B390" i="1"/>
  <c r="A391" i="1"/>
  <c r="C390" i="1"/>
  <c r="B391" i="2" l="1"/>
  <c r="C391" i="2"/>
  <c r="A392" i="2"/>
  <c r="B391" i="1"/>
  <c r="C391" i="1"/>
  <c r="A392" i="1"/>
  <c r="B392" i="2" l="1"/>
  <c r="C392" i="2"/>
  <c r="A393" i="2"/>
  <c r="A393" i="1"/>
  <c r="B392" i="1"/>
  <c r="C392" i="1"/>
  <c r="B393" i="2" l="1"/>
  <c r="C393" i="2"/>
  <c r="A394" i="2"/>
  <c r="A394" i="1"/>
  <c r="C393" i="1"/>
  <c r="B393" i="1"/>
  <c r="B394" i="2" l="1"/>
  <c r="C394" i="2"/>
  <c r="A395" i="2"/>
  <c r="B394" i="1"/>
  <c r="C394" i="1"/>
  <c r="A395" i="1"/>
  <c r="B395" i="2" l="1"/>
  <c r="C395" i="2"/>
  <c r="A396" i="2"/>
  <c r="C395" i="1"/>
  <c r="B395" i="1"/>
  <c r="A396" i="1"/>
  <c r="B396" i="2" l="1"/>
  <c r="C396" i="2"/>
  <c r="A397" i="2"/>
  <c r="A397" i="1"/>
  <c r="C396" i="1"/>
  <c r="B396" i="1"/>
  <c r="B397" i="2" l="1"/>
  <c r="C397" i="2"/>
  <c r="A398" i="2"/>
  <c r="B397" i="1"/>
  <c r="A398" i="1"/>
  <c r="C397" i="1"/>
  <c r="B398" i="2" l="1"/>
  <c r="C398" i="2"/>
  <c r="A399" i="2"/>
  <c r="C398" i="1"/>
  <c r="A399" i="1"/>
  <c r="B398" i="1"/>
  <c r="B399" i="2" l="1"/>
  <c r="C399" i="2"/>
  <c r="A400" i="2"/>
  <c r="C399" i="1"/>
  <c r="B399" i="1"/>
  <c r="A400" i="1"/>
  <c r="B400" i="2" l="1"/>
  <c r="C400" i="2"/>
  <c r="A401" i="2"/>
  <c r="C400" i="1"/>
  <c r="A401" i="1"/>
  <c r="B400" i="1"/>
  <c r="B401" i="2" l="1"/>
  <c r="C401" i="2"/>
  <c r="A402" i="2"/>
  <c r="A402" i="1"/>
  <c r="C401" i="1"/>
  <c r="B401" i="1"/>
  <c r="B402" i="2" l="1"/>
  <c r="C402" i="2"/>
  <c r="A403" i="2"/>
  <c r="B402" i="1"/>
  <c r="A403" i="1"/>
  <c r="C402" i="1"/>
  <c r="B403" i="2" l="1"/>
  <c r="C403" i="2"/>
  <c r="A404" i="2"/>
  <c r="A404" i="1"/>
  <c r="B403" i="1"/>
  <c r="C403" i="1"/>
  <c r="B404" i="2" l="1"/>
  <c r="C404" i="2"/>
  <c r="A405" i="2"/>
  <c r="B404" i="1"/>
  <c r="A405" i="1"/>
  <c r="C404" i="1"/>
  <c r="B405" i="2" l="1"/>
  <c r="C405" i="2"/>
  <c r="A406" i="2"/>
  <c r="C405" i="1"/>
  <c r="A406" i="1"/>
  <c r="B405" i="1"/>
  <c r="B406" i="2" l="1"/>
  <c r="C406" i="2"/>
  <c r="A407" i="2"/>
  <c r="A407" i="1"/>
  <c r="C406" i="1"/>
  <c r="B406" i="1"/>
  <c r="B407" i="2" l="1"/>
  <c r="C407" i="2"/>
  <c r="A408" i="2"/>
  <c r="B407" i="1"/>
  <c r="A408" i="1"/>
  <c r="C407" i="1"/>
  <c r="B408" i="2" l="1"/>
  <c r="C408" i="2"/>
  <c r="A409" i="2"/>
  <c r="B408" i="1"/>
  <c r="C408" i="1"/>
  <c r="A409" i="1"/>
  <c r="B409" i="2" l="1"/>
  <c r="C409" i="2"/>
  <c r="A410" i="2"/>
  <c r="A410" i="1"/>
  <c r="C409" i="1"/>
  <c r="B409" i="1"/>
  <c r="B410" i="2" l="1"/>
  <c r="C410" i="2"/>
  <c r="A411" i="2"/>
  <c r="C410" i="1"/>
  <c r="A411" i="1"/>
  <c r="B410" i="1"/>
  <c r="B411" i="2" l="1"/>
  <c r="C411" i="2"/>
  <c r="A412" i="2"/>
  <c r="A412" i="1"/>
  <c r="B411" i="1"/>
  <c r="C411" i="1"/>
  <c r="B412" i="2" l="1"/>
  <c r="C412" i="2"/>
  <c r="A413" i="2"/>
  <c r="C412" i="1"/>
  <c r="A413" i="1"/>
  <c r="B412" i="1"/>
  <c r="B413" i="2" l="1"/>
  <c r="C413" i="2"/>
  <c r="A414" i="2"/>
  <c r="B413" i="1"/>
  <c r="A414" i="1"/>
  <c r="C413" i="1"/>
  <c r="B414" i="2" l="1"/>
  <c r="C414" i="2"/>
  <c r="A415" i="2"/>
  <c r="B414" i="1"/>
  <c r="C414" i="1"/>
  <c r="A415" i="1"/>
  <c r="B415" i="2" l="1"/>
  <c r="C415" i="2"/>
  <c r="A416" i="2"/>
  <c r="B415" i="1"/>
  <c r="C415" i="1"/>
  <c r="A416" i="1"/>
  <c r="B416" i="2" l="1"/>
  <c r="C416" i="2"/>
  <c r="A417" i="2"/>
  <c r="C416" i="1"/>
  <c r="B416" i="1"/>
  <c r="A417" i="1"/>
  <c r="B417" i="2" l="1"/>
  <c r="C417" i="2"/>
  <c r="A418" i="2"/>
  <c r="B417" i="1"/>
  <c r="C417" i="1"/>
  <c r="A418" i="1"/>
  <c r="B418" i="2" l="1"/>
  <c r="C418" i="2"/>
  <c r="A419" i="2"/>
  <c r="A419" i="1"/>
  <c r="B418" i="1"/>
  <c r="C418" i="1"/>
  <c r="B419" i="2" l="1"/>
  <c r="C419" i="2"/>
  <c r="A420" i="2"/>
  <c r="B419" i="1"/>
  <c r="C419" i="1"/>
  <c r="A420" i="1"/>
  <c r="B420" i="2" l="1"/>
  <c r="C420" i="2"/>
  <c r="A421" i="2"/>
  <c r="B420" i="1"/>
  <c r="A421" i="1"/>
  <c r="C420" i="1"/>
  <c r="B421" i="2" l="1"/>
  <c r="C421" i="2"/>
  <c r="A422" i="2"/>
  <c r="A422" i="1"/>
  <c r="B421" i="1"/>
  <c r="C421" i="1"/>
  <c r="B422" i="2" l="1"/>
  <c r="C422" i="2"/>
  <c r="A423" i="2"/>
  <c r="B422" i="1"/>
  <c r="C422" i="1"/>
  <c r="A423" i="1"/>
  <c r="B423" i="2" l="1"/>
  <c r="C423" i="2"/>
  <c r="A424" i="2"/>
  <c r="A424" i="1"/>
  <c r="B423" i="1"/>
  <c r="C423" i="1"/>
  <c r="B424" i="2" l="1"/>
  <c r="C424" i="2"/>
  <c r="A425" i="2"/>
  <c r="C424" i="1"/>
  <c r="A425" i="1"/>
  <c r="B424" i="1"/>
  <c r="B425" i="2" l="1"/>
  <c r="C425" i="2"/>
  <c r="A426" i="2"/>
  <c r="C425" i="1"/>
  <c r="B425" i="1"/>
  <c r="A426" i="1"/>
  <c r="B426" i="2" l="1"/>
  <c r="C426" i="2"/>
  <c r="A427" i="2"/>
  <c r="A427" i="1"/>
  <c r="B426" i="1"/>
  <c r="C426" i="1"/>
  <c r="B427" i="2" l="1"/>
  <c r="C427" i="2"/>
  <c r="A428" i="2"/>
  <c r="C427" i="1"/>
  <c r="A428" i="1"/>
  <c r="B427" i="1"/>
  <c r="B428" i="2" l="1"/>
  <c r="C428" i="2"/>
  <c r="A429" i="2"/>
  <c r="C428" i="1"/>
  <c r="B428" i="1"/>
  <c r="A429" i="1"/>
  <c r="B429" i="2" l="1"/>
  <c r="C429" i="2"/>
  <c r="A430" i="2"/>
  <c r="A430" i="1"/>
  <c r="C429" i="1"/>
  <c r="B429" i="1"/>
  <c r="B430" i="2" l="1"/>
  <c r="C430" i="2"/>
  <c r="A431" i="2"/>
  <c r="B430" i="1"/>
  <c r="C430" i="1"/>
  <c r="A431" i="1"/>
  <c r="B431" i="2" l="1"/>
  <c r="C431" i="2"/>
  <c r="A432" i="2"/>
  <c r="A432" i="1"/>
  <c r="B431" i="1"/>
  <c r="C431" i="1"/>
  <c r="B432" i="2" l="1"/>
  <c r="C432" i="2"/>
  <c r="A433" i="2"/>
  <c r="A433" i="1"/>
  <c r="B432" i="1"/>
  <c r="C432" i="1"/>
  <c r="B433" i="2" l="1"/>
  <c r="C433" i="2"/>
  <c r="A434" i="2"/>
  <c r="A434" i="1"/>
  <c r="B433" i="1"/>
  <c r="C433" i="1"/>
  <c r="B434" i="2" l="1"/>
  <c r="C434" i="2"/>
  <c r="A435" i="2"/>
  <c r="A435" i="1"/>
  <c r="B434" i="1"/>
  <c r="C434" i="1"/>
  <c r="B435" i="2" l="1"/>
  <c r="C435" i="2"/>
  <c r="A436" i="2"/>
  <c r="B435" i="1"/>
  <c r="A436" i="1"/>
  <c r="C435" i="1"/>
  <c r="B436" i="2" l="1"/>
  <c r="C436" i="2"/>
  <c r="A437" i="2"/>
  <c r="B436" i="1"/>
  <c r="A437" i="1"/>
  <c r="C436" i="1"/>
  <c r="B437" i="2" l="1"/>
  <c r="C437" i="2"/>
  <c r="A438" i="2"/>
  <c r="B437" i="1"/>
  <c r="C437" i="1"/>
  <c r="A438" i="1"/>
  <c r="B438" i="2" l="1"/>
  <c r="C438" i="2"/>
  <c r="A439" i="2"/>
  <c r="B438" i="1"/>
  <c r="A439" i="1"/>
  <c r="C438" i="1"/>
  <c r="B439" i="2" l="1"/>
  <c r="C439" i="2"/>
  <c r="A440" i="2"/>
  <c r="B439" i="1"/>
  <c r="C439" i="1"/>
  <c r="A440" i="1"/>
  <c r="B440" i="2" l="1"/>
  <c r="C440" i="2"/>
  <c r="A441" i="2"/>
  <c r="A441" i="1"/>
  <c r="B440" i="1"/>
  <c r="C440" i="1"/>
  <c r="B441" i="2" l="1"/>
  <c r="C441" i="2"/>
  <c r="A442" i="2"/>
  <c r="A442" i="1"/>
  <c r="B441" i="1"/>
  <c r="C441" i="1"/>
  <c r="B442" i="2" l="1"/>
  <c r="C442" i="2"/>
  <c r="A443" i="2"/>
  <c r="A443" i="1"/>
  <c r="B442" i="1"/>
  <c r="C442" i="1"/>
  <c r="B443" i="2" l="1"/>
  <c r="C443" i="2"/>
  <c r="A444" i="2"/>
  <c r="C443" i="1"/>
  <c r="B443" i="1"/>
  <c r="A444" i="1"/>
  <c r="B444" i="2" l="1"/>
  <c r="C444" i="2"/>
  <c r="A445" i="2"/>
  <c r="B444" i="1"/>
  <c r="C444" i="1"/>
  <c r="A445" i="1"/>
  <c r="B445" i="2" l="1"/>
  <c r="C445" i="2"/>
  <c r="A446" i="2"/>
  <c r="B445" i="1"/>
  <c r="C445" i="1"/>
  <c r="A446" i="1"/>
  <c r="B446" i="2" l="1"/>
  <c r="C446" i="2"/>
  <c r="A447" i="2"/>
  <c r="B446" i="1"/>
  <c r="C446" i="1"/>
  <c r="A447" i="1"/>
  <c r="B447" i="2" l="1"/>
  <c r="C447" i="2"/>
  <c r="A448" i="2"/>
  <c r="B447" i="1"/>
  <c r="C447" i="1"/>
  <c r="A448" i="1"/>
  <c r="B448" i="2" l="1"/>
  <c r="C448" i="2"/>
  <c r="A449" i="2"/>
  <c r="B448" i="1"/>
  <c r="C448" i="1"/>
  <c r="A449" i="1"/>
  <c r="B449" i="2" l="1"/>
  <c r="C449" i="2"/>
  <c r="A450" i="2"/>
  <c r="B449" i="1"/>
  <c r="C449" i="1"/>
  <c r="A450" i="1"/>
  <c r="B450" i="2" l="1"/>
  <c r="C450" i="2"/>
  <c r="A451" i="2"/>
  <c r="B450" i="1"/>
  <c r="C450" i="1"/>
  <c r="A451" i="1"/>
  <c r="B451" i="2" l="1"/>
  <c r="C451" i="2"/>
  <c r="A452" i="2"/>
  <c r="B451" i="1"/>
  <c r="C451" i="1"/>
  <c r="A452" i="1"/>
  <c r="B452" i="2" l="1"/>
  <c r="C452" i="2"/>
  <c r="A453" i="2"/>
  <c r="B452" i="1"/>
  <c r="C452" i="1"/>
  <c r="A453" i="1"/>
  <c r="B453" i="2" l="1"/>
  <c r="C453" i="2"/>
  <c r="A454" i="2"/>
  <c r="B453" i="1"/>
  <c r="C453" i="1"/>
  <c r="A454" i="1"/>
  <c r="B454" i="2" l="1"/>
  <c r="C454" i="2"/>
  <c r="A455" i="2"/>
  <c r="B454" i="1"/>
  <c r="C454" i="1"/>
  <c r="A455" i="1"/>
  <c r="B455" i="2" l="1"/>
  <c r="C455" i="2"/>
  <c r="A456" i="2"/>
  <c r="B455" i="1"/>
  <c r="C455" i="1"/>
  <c r="A456" i="1"/>
  <c r="B456" i="2" l="1"/>
  <c r="C456" i="2"/>
  <c r="A457" i="2"/>
  <c r="B456" i="1"/>
  <c r="C456" i="1"/>
  <c r="A457" i="1"/>
  <c r="B457" i="2" l="1"/>
  <c r="C457" i="2"/>
  <c r="A458" i="2"/>
  <c r="B457" i="1"/>
  <c r="C457" i="1"/>
  <c r="A458" i="1"/>
  <c r="B458" i="2" l="1"/>
  <c r="C458" i="2"/>
  <c r="A459" i="2"/>
  <c r="B458" i="1"/>
  <c r="C458" i="1"/>
  <c r="A459" i="1"/>
  <c r="B459" i="2" l="1"/>
  <c r="C459" i="2"/>
  <c r="A460" i="2"/>
  <c r="B459" i="1"/>
  <c r="C459" i="1"/>
  <c r="A460" i="1"/>
  <c r="B460" i="2" l="1"/>
  <c r="C460" i="2"/>
  <c r="A461" i="2"/>
  <c r="B460" i="1"/>
  <c r="C460" i="1"/>
  <c r="A461" i="1"/>
  <c r="B461" i="2" l="1"/>
  <c r="C461" i="2"/>
  <c r="A462" i="2"/>
  <c r="B461" i="1"/>
  <c r="C461" i="1"/>
  <c r="A462" i="1"/>
  <c r="B462" i="2" l="1"/>
  <c r="C462" i="2"/>
  <c r="A463" i="2"/>
  <c r="B462" i="1"/>
  <c r="C462" i="1"/>
  <c r="A463" i="1"/>
  <c r="B463" i="2" l="1"/>
  <c r="C463" i="2"/>
  <c r="A464" i="2"/>
  <c r="B463" i="1"/>
  <c r="C463" i="1"/>
  <c r="A464" i="1"/>
  <c r="B464" i="2" l="1"/>
  <c r="C464" i="2"/>
  <c r="A465" i="2"/>
  <c r="B464" i="1"/>
  <c r="C464" i="1"/>
  <c r="A465" i="1"/>
  <c r="B465" i="2" l="1"/>
  <c r="C465" i="2"/>
  <c r="A466" i="2"/>
  <c r="B465" i="1"/>
  <c r="C465" i="1"/>
  <c r="A466" i="1"/>
  <c r="B466" i="2" l="1"/>
  <c r="C466" i="2"/>
  <c r="A467" i="2"/>
  <c r="B466" i="1"/>
  <c r="C466" i="1"/>
  <c r="A467" i="1"/>
  <c r="B467" i="2" l="1"/>
  <c r="C467" i="2"/>
  <c r="A468" i="2"/>
  <c r="B467" i="1"/>
  <c r="C467" i="1"/>
  <c r="A468" i="1"/>
  <c r="B468" i="2" l="1"/>
  <c r="C468" i="2"/>
  <c r="A469" i="2"/>
  <c r="B468" i="1"/>
  <c r="C468" i="1"/>
  <c r="A469" i="1"/>
  <c r="B469" i="2" l="1"/>
  <c r="C469" i="2"/>
  <c r="A470" i="2"/>
  <c r="B469" i="1"/>
  <c r="C469" i="1"/>
  <c r="A470" i="1"/>
  <c r="B470" i="2" l="1"/>
  <c r="C470" i="2"/>
  <c r="A471" i="2"/>
  <c r="B470" i="1"/>
  <c r="C470" i="1"/>
  <c r="A471" i="1"/>
  <c r="B471" i="2" l="1"/>
  <c r="C471" i="2"/>
  <c r="A472" i="2"/>
  <c r="B471" i="1"/>
  <c r="C471" i="1"/>
  <c r="A472" i="1"/>
  <c r="B472" i="2" l="1"/>
  <c r="C472" i="2"/>
  <c r="A473" i="2"/>
  <c r="B472" i="1"/>
  <c r="C472" i="1"/>
  <c r="A473" i="1"/>
  <c r="B473" i="2" l="1"/>
  <c r="C473" i="2"/>
  <c r="A474" i="2"/>
  <c r="B473" i="1"/>
  <c r="C473" i="1"/>
  <c r="A474" i="1"/>
  <c r="B474" i="2" l="1"/>
  <c r="C474" i="2"/>
  <c r="A475" i="2"/>
  <c r="B474" i="1"/>
  <c r="C474" i="1"/>
  <c r="A475" i="1"/>
  <c r="B475" i="2" l="1"/>
  <c r="C475" i="2"/>
  <c r="A476" i="2"/>
  <c r="B475" i="1"/>
  <c r="C475" i="1"/>
  <c r="A476" i="1"/>
  <c r="B476" i="2" l="1"/>
  <c r="C476" i="2"/>
  <c r="A477" i="2"/>
  <c r="B476" i="1"/>
  <c r="C476" i="1"/>
  <c r="A477" i="1"/>
  <c r="B477" i="2" l="1"/>
  <c r="C477" i="2"/>
  <c r="A478" i="2"/>
  <c r="B477" i="1"/>
  <c r="C477" i="1"/>
  <c r="A478" i="1"/>
  <c r="B478" i="2" l="1"/>
  <c r="C478" i="2"/>
  <c r="A479" i="2"/>
  <c r="B478" i="1"/>
  <c r="C478" i="1"/>
  <c r="A479" i="1"/>
  <c r="B479" i="2" l="1"/>
  <c r="C479" i="2"/>
  <c r="A480" i="2"/>
  <c r="B479" i="1"/>
  <c r="C479" i="1"/>
  <c r="A480" i="1"/>
  <c r="B480" i="2" l="1"/>
  <c r="C480" i="2"/>
  <c r="A481" i="2"/>
  <c r="B480" i="1"/>
  <c r="C480" i="1"/>
  <c r="A481" i="1"/>
  <c r="B481" i="2" l="1"/>
  <c r="C481" i="2"/>
  <c r="A482" i="2"/>
  <c r="B481" i="1"/>
  <c r="C481" i="1"/>
  <c r="A482" i="1"/>
  <c r="B482" i="2" l="1"/>
  <c r="C482" i="2"/>
  <c r="A483" i="2"/>
  <c r="B482" i="1"/>
  <c r="C482" i="1"/>
  <c r="A483" i="1"/>
  <c r="B483" i="2" l="1"/>
  <c r="C483" i="2"/>
  <c r="A484" i="2"/>
  <c r="B483" i="1"/>
  <c r="C483" i="1"/>
  <c r="A484" i="1"/>
  <c r="B484" i="2" l="1"/>
  <c r="C484" i="2"/>
  <c r="A485" i="2"/>
  <c r="B484" i="1"/>
  <c r="C484" i="1"/>
  <c r="A485" i="1"/>
  <c r="B485" i="2" l="1"/>
  <c r="C485" i="2"/>
  <c r="A486" i="2"/>
  <c r="B485" i="1"/>
  <c r="C485" i="1"/>
  <c r="A486" i="1"/>
  <c r="B486" i="2" l="1"/>
  <c r="C486" i="2"/>
  <c r="A487" i="2"/>
  <c r="B486" i="1"/>
  <c r="C486" i="1"/>
  <c r="A487" i="1"/>
  <c r="B487" i="2" l="1"/>
  <c r="C487" i="2"/>
  <c r="A488" i="2"/>
  <c r="B487" i="1"/>
  <c r="C487" i="1"/>
  <c r="A488" i="1"/>
  <c r="B488" i="2" l="1"/>
  <c r="C488" i="2"/>
  <c r="A489" i="2"/>
  <c r="B488" i="1"/>
  <c r="C488" i="1"/>
  <c r="A489" i="1"/>
  <c r="B489" i="2" l="1"/>
  <c r="C489" i="2"/>
  <c r="A490" i="2"/>
  <c r="B489" i="1"/>
  <c r="C489" i="1"/>
  <c r="A490" i="1"/>
  <c r="B490" i="2" l="1"/>
  <c r="C490" i="2"/>
  <c r="A491" i="2"/>
  <c r="B490" i="1"/>
  <c r="C490" i="1"/>
  <c r="A491" i="1"/>
  <c r="B491" i="2" l="1"/>
  <c r="C491" i="2"/>
  <c r="A492" i="2"/>
  <c r="B491" i="1"/>
  <c r="C491" i="1"/>
  <c r="A492" i="1"/>
  <c r="B492" i="2" l="1"/>
  <c r="C492" i="2"/>
  <c r="A493" i="2"/>
  <c r="B492" i="1"/>
  <c r="C492" i="1"/>
  <c r="A493" i="1"/>
  <c r="B493" i="2" l="1"/>
  <c r="C493" i="2"/>
  <c r="A494" i="2"/>
  <c r="B493" i="1"/>
  <c r="C493" i="1"/>
  <c r="A494" i="1"/>
  <c r="B494" i="2" l="1"/>
  <c r="C494" i="2"/>
  <c r="A495" i="2"/>
  <c r="B494" i="1"/>
  <c r="C494" i="1"/>
  <c r="A495" i="1"/>
  <c r="B495" i="2" l="1"/>
  <c r="C495" i="2"/>
  <c r="A496" i="2"/>
  <c r="B495" i="1"/>
  <c r="C495" i="1"/>
  <c r="A496" i="1"/>
  <c r="B496" i="2" l="1"/>
  <c r="C496" i="2"/>
  <c r="A497" i="2"/>
  <c r="B496" i="1"/>
  <c r="C496" i="1"/>
  <c r="A497" i="1"/>
  <c r="B497" i="2" l="1"/>
  <c r="C497" i="2"/>
  <c r="A498" i="2"/>
  <c r="B497" i="1"/>
  <c r="C497" i="1"/>
  <c r="A498" i="1"/>
  <c r="B498" i="2" l="1"/>
  <c r="C498" i="2"/>
  <c r="A499" i="2"/>
  <c r="B498" i="1"/>
  <c r="C498" i="1"/>
  <c r="A499" i="1"/>
  <c r="B499" i="2" l="1"/>
  <c r="C499" i="2"/>
  <c r="A500" i="2"/>
  <c r="B499" i="1"/>
  <c r="C499" i="1"/>
  <c r="A500" i="1"/>
  <c r="B500" i="2" l="1"/>
  <c r="C500" i="2"/>
  <c r="A501" i="2"/>
  <c r="B500" i="1"/>
  <c r="C500" i="1"/>
  <c r="A501" i="1"/>
  <c r="B501" i="2" l="1"/>
  <c r="C501" i="2"/>
  <c r="A502" i="2"/>
  <c r="B501" i="1"/>
  <c r="C501" i="1"/>
  <c r="A502" i="1"/>
  <c r="B502" i="2" l="1"/>
  <c r="C502" i="2"/>
  <c r="A503" i="2"/>
  <c r="B502" i="1"/>
  <c r="C502" i="1"/>
  <c r="A503" i="1"/>
  <c r="B503" i="2" l="1"/>
  <c r="C503" i="2"/>
  <c r="B503" i="1"/>
  <c r="C503" i="1"/>
</calcChain>
</file>

<file path=xl/sharedStrings.xml><?xml version="1.0" encoding="utf-8"?>
<sst xmlns="http://schemas.openxmlformats.org/spreadsheetml/2006/main" count="32" uniqueCount="18">
  <si>
    <t>Symbol</t>
  </si>
  <si>
    <t>Description</t>
  </si>
  <si>
    <t>Value</t>
  </si>
  <si>
    <t>Initial Population</t>
  </si>
  <si>
    <t>r</t>
  </si>
  <si>
    <t>Growth Rate</t>
  </si>
  <si>
    <t>Time Step</t>
  </si>
  <si>
    <t>Total Sim Time</t>
  </si>
  <si>
    <t>Time (t)</t>
  </si>
  <si>
    <t>Explicit Formula</t>
  </si>
  <si>
    <t>Euler Method</t>
  </si>
  <si>
    <t>K</t>
  </si>
  <si>
    <t>Carrying Capacity</t>
  </si>
  <si>
    <t>Logistic Model</t>
  </si>
  <si>
    <t>Malthusian Model</t>
  </si>
  <si>
    <r>
      <t>T</t>
    </r>
    <r>
      <rPr>
        <b/>
        <vertAlign val="subscript"/>
        <sz val="11"/>
        <color theme="1"/>
        <rFont val="Open Sans"/>
      </rPr>
      <t>max</t>
    </r>
  </si>
  <si>
    <r>
      <t>P</t>
    </r>
    <r>
      <rPr>
        <b/>
        <vertAlign val="subscript"/>
        <sz val="11"/>
        <color theme="1"/>
        <rFont val="Open Sans"/>
      </rPr>
      <t>0</t>
    </r>
  </si>
  <si>
    <r>
      <t>d</t>
    </r>
    <r>
      <rPr>
        <b/>
        <vertAlign val="subscript"/>
        <sz val="11"/>
        <color theme="1"/>
        <rFont val="Open Sans"/>
      </rPr>
      <t>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</si>
</sst>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2"/>
      <color theme="1"/>
      <name val="Open Sans"/>
    </font>
    <font>
      <sz val="11"/>
      <color theme="1"/>
      <name val="Open Sans"/>
    </font>
    <font>
      <b/>
      <sz val="11"/>
      <color rgb="FFFFFFFF"/>
      <name val="Open Sans"/>
    </font>
    <font>
      <b/>
      <sz val="11"/>
      <color theme="1"/>
      <name val="Open Sans"/>
    </font>
    <font>
      <b/>
      <sz val="20"/>
      <color theme="1"/>
      <name val="Open Sans"/>
    </font>
    <font>
      <b/>
      <vertAlign val="subscript"/>
      <sz val="11"/>
      <color theme="1"/>
      <name val="Open Sans"/>
    </font>
  </fonts>
  <fills count="6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165" fontId="1" fillId="2" borderId="1" xfId="0" applyNumberFormat="1" applyFon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0" borderId="0" xfId="0" applyNumberFormat="1"/>
    <xf numFmtId="165" fontId="2" fillId="0" borderId="0" xfId="0" applyNumberFormat="1" applyFont="1"/>
    <xf numFmtId="165" fontId="3" fillId="0" borderId="0" xfId="0" applyNumberFormat="1" applyFont="1"/>
    <xf numFmtId="0" fontId="3" fillId="0" borderId="0" xfId="0" applyFont="1"/>
    <xf numFmtId="165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165" fontId="6" fillId="0" borderId="0" xfId="0" applyNumberFormat="1" applyFont="1"/>
    <xf numFmtId="0" fontId="5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Malthusian Exponential Growth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'Malthusian Model'!$B$3</c:f>
              <c:strCache>
                <c:ptCount val="1"/>
                <c:pt idx="0">
                  <c:v>Explicit Formula</c:v>
                </c:pt>
              </c:strCache>
            </c:strRef>
          </c:tx>
          <c:spPr>
            <a:ln w="2540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'Malthusian Model'!$A$4:$A$503</c:f>
              <c:numCache>
                <c:formatCode>0.0</c:formatCode>
                <c:ptCount val="50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4.2</c:v>
                </c:pt>
                <c:pt idx="7">
                  <c:v>4.9000000000000004</c:v>
                </c:pt>
                <c:pt idx="8">
                  <c:v>5.6000000000000005</c:v>
                </c:pt>
                <c:pt idx="9">
                  <c:v>6.3000000000000007</c:v>
                </c:pt>
                <c:pt idx="10">
                  <c:v>7.0000000000000009</c:v>
                </c:pt>
                <c:pt idx="11">
                  <c:v>7.7000000000000011</c:v>
                </c:pt>
                <c:pt idx="12">
                  <c:v>8.4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10.499999999999998</c:v>
                </c:pt>
                <c:pt idx="16">
                  <c:v>11.199999999999998</c:v>
                </c:pt>
                <c:pt idx="17">
                  <c:v>11.899999999999997</c:v>
                </c:pt>
                <c:pt idx="18">
                  <c:v>12.599999999999996</c:v>
                </c:pt>
                <c:pt idx="19">
                  <c:v>13.299999999999995</c:v>
                </c:pt>
                <c:pt idx="20">
                  <c:v>13.999999999999995</c:v>
                </c:pt>
                <c:pt idx="21">
                  <c:v>14.699999999999994</c:v>
                </c:pt>
                <c:pt idx="22">
                  <c:v>15.399999999999993</c:v>
                </c:pt>
                <c:pt idx="23">
                  <c:v>16.099999999999994</c:v>
                </c:pt>
                <c:pt idx="24">
                  <c:v>16.799999999999994</c:v>
                </c:pt>
                <c:pt idx="25">
                  <c:v>17.499999999999993</c:v>
                </c:pt>
                <c:pt idx="26">
                  <c:v>18.199999999999992</c:v>
                </c:pt>
                <c:pt idx="27">
                  <c:v>18.899999999999991</c:v>
                </c:pt>
                <c:pt idx="28">
                  <c:v>19.599999999999991</c:v>
                </c:pt>
                <c:pt idx="29">
                  <c:v>20.29999999999999</c:v>
                </c:pt>
                <c:pt idx="30">
                  <c:v>20.999999999999989</c:v>
                </c:pt>
                <c:pt idx="31">
                  <c:v>21.699999999999989</c:v>
                </c:pt>
                <c:pt idx="32">
                  <c:v>22.399999999999988</c:v>
                </c:pt>
                <c:pt idx="33">
                  <c:v>23.099999999999987</c:v>
                </c:pt>
                <c:pt idx="34">
                  <c:v>23.799999999999986</c:v>
                </c:pt>
                <c:pt idx="35">
                  <c:v>24.499999999999986</c:v>
                </c:pt>
                <c:pt idx="36">
                  <c:v>25.199999999999985</c:v>
                </c:pt>
                <c:pt idx="37">
                  <c:v>25.899999999999984</c:v>
                </c:pt>
                <c:pt idx="38">
                  <c:v>26.599999999999984</c:v>
                </c:pt>
                <c:pt idx="39">
                  <c:v>27.299999999999983</c:v>
                </c:pt>
                <c:pt idx="40">
                  <c:v>27.999999999999982</c:v>
                </c:pt>
                <c:pt idx="41">
                  <c:v>28.699999999999982</c:v>
                </c:pt>
                <c:pt idx="42">
                  <c:v>29.399999999999981</c:v>
                </c:pt>
                <c:pt idx="43">
                  <c:v>30.09999999999998</c:v>
                </c:pt>
                <c:pt idx="44">
                  <c:v>30.799999999999979</c:v>
                </c:pt>
                <c:pt idx="45">
                  <c:v>31.499999999999979</c:v>
                </c:pt>
                <c:pt idx="46">
                  <c:v>32.199999999999982</c:v>
                </c:pt>
                <c:pt idx="47">
                  <c:v>32.899999999999984</c:v>
                </c:pt>
                <c:pt idx="48">
                  <c:v>33.599999999999987</c:v>
                </c:pt>
                <c:pt idx="49">
                  <c:v>34.29999999999999</c:v>
                </c:pt>
                <c:pt idx="50">
                  <c:v>34.999999999999993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37.1</c:v>
                </c:pt>
                <c:pt idx="54">
                  <c:v>37.800000000000004</c:v>
                </c:pt>
                <c:pt idx="55">
                  <c:v>38.500000000000007</c:v>
                </c:pt>
                <c:pt idx="56">
                  <c:v>39.20000000000001</c:v>
                </c:pt>
                <c:pt idx="57">
                  <c:v>39.900000000000013</c:v>
                </c:pt>
                <c:pt idx="58">
                  <c:v>40.600000000000016</c:v>
                </c:pt>
                <c:pt idx="59">
                  <c:v>41.300000000000018</c:v>
                </c:pt>
                <c:pt idx="60">
                  <c:v>42.000000000000021</c:v>
                </c:pt>
                <c:pt idx="61">
                  <c:v>42.700000000000024</c:v>
                </c:pt>
                <c:pt idx="62">
                  <c:v>43.400000000000027</c:v>
                </c:pt>
                <c:pt idx="63">
                  <c:v>44.10000000000003</c:v>
                </c:pt>
                <c:pt idx="64">
                  <c:v>44.800000000000033</c:v>
                </c:pt>
                <c:pt idx="65">
                  <c:v>45.500000000000036</c:v>
                </c:pt>
                <c:pt idx="66">
                  <c:v>46.200000000000038</c:v>
                </c:pt>
                <c:pt idx="67">
                  <c:v>46.900000000000041</c:v>
                </c:pt>
                <c:pt idx="68">
                  <c:v>47.600000000000044</c:v>
                </c:pt>
                <c:pt idx="69">
                  <c:v>48.300000000000047</c:v>
                </c:pt>
                <c:pt idx="70">
                  <c:v>49.00000000000005</c:v>
                </c:pt>
                <c:pt idx="71">
                  <c:v>49.700000000000053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'Malthusian Model'!$B$4:$B$503</c:f>
              <c:numCache>
                <c:formatCode>0.0</c:formatCode>
                <c:ptCount val="500"/>
                <c:pt idx="0">
                  <c:v>10</c:v>
                </c:pt>
                <c:pt idx="1">
                  <c:v>10.725081812542165</c:v>
                </c:pt>
                <c:pt idx="2">
                  <c:v>11.502737988572274</c:v>
                </c:pt>
                <c:pt idx="3">
                  <c:v>12.336780599567431</c:v>
                </c:pt>
                <c:pt idx="4">
                  <c:v>13.231298123374369</c:v>
                </c:pt>
                <c:pt idx="5">
                  <c:v>14.190675485932573</c:v>
                </c:pt>
                <c:pt idx="6">
                  <c:v>15.219615556186339</c:v>
                </c:pt>
                <c:pt idx="7">
                  <c:v>16.323162199553792</c:v>
                </c:pt>
                <c:pt idx="8">
                  <c:v>17.506725002961012</c:v>
                </c:pt>
                <c:pt idx="9">
                  <c:v>18.776105792643435</c:v>
                </c:pt>
                <c:pt idx="10">
                  <c:v>20.137527074704771</c:v>
                </c:pt>
                <c:pt idx="11">
                  <c:v>21.597662537849153</c:v>
                </c:pt>
                <c:pt idx="12">
                  <c:v>23.163669767810919</c:v>
                </c:pt>
                <c:pt idx="13">
                  <c:v>24.843225333848164</c:v>
                </c:pt>
                <c:pt idx="14">
                  <c:v>26.644562419294168</c:v>
                </c:pt>
                <c:pt idx="15">
                  <c:v>28.576511180631634</c:v>
                </c:pt>
                <c:pt idx="16">
                  <c:v>30.648542032930017</c:v>
                </c:pt>
                <c:pt idx="17">
                  <c:v>32.870812073831175</c:v>
                </c:pt>
                <c:pt idx="18">
                  <c:v>35.254214873653815</c:v>
                </c:pt>
                <c:pt idx="19">
                  <c:v>37.810433875687792</c:v>
                </c:pt>
                <c:pt idx="20">
                  <c:v>40.551999668446726</c:v>
                </c:pt>
                <c:pt idx="21">
                  <c:v>43.492351410627386</c:v>
                </c:pt>
                <c:pt idx="22">
                  <c:v>46.645902709881227</c:v>
                </c:pt>
                <c:pt idx="23">
                  <c:v>50.028112278335854</c:v>
                </c:pt>
                <c:pt idx="24">
                  <c:v>53.655559711219716</c:v>
                </c:pt>
                <c:pt idx="25">
                  <c:v>57.546026760057259</c:v>
                </c:pt>
                <c:pt idx="26">
                  <c:v>61.718584498835497</c:v>
                </c:pt>
                <c:pt idx="27">
                  <c:v>66.193686810430719</c:v>
                </c:pt>
                <c:pt idx="28">
                  <c:v>70.993270651566263</c:v>
                </c:pt>
                <c:pt idx="29">
                  <c:v>76.140863587799657</c:v>
                </c:pt>
                <c:pt idx="30">
                  <c:v>81.661699125676421</c:v>
                </c:pt>
                <c:pt idx="31">
                  <c:v>87.582840407408256</c:v>
                </c:pt>
                <c:pt idx="32">
                  <c:v>93.933312874427713</c:v>
                </c:pt>
                <c:pt idx="33">
                  <c:v>100.74424655013573</c:v>
                </c:pt>
                <c:pt idx="34">
                  <c:v>108.04902863931244</c:v>
                </c:pt>
                <c:pt idx="35">
                  <c:v>115.88346719223375</c:v>
                </c:pt>
                <c:pt idx="36">
                  <c:v>124.28596663577528</c:v>
                </c:pt>
                <c:pt idx="37">
                  <c:v>133.29771603195755</c:v>
                </c:pt>
                <c:pt idx="38">
                  <c:v>142.96289098677579</c:v>
                </c:pt>
                <c:pt idx="39">
                  <c:v>153.32887019907176</c:v>
                </c:pt>
                <c:pt idx="40">
                  <c:v>164.44646771097027</c:v>
                </c:pt>
                <c:pt idx="41">
                  <c:v>176.37018199837291</c:v>
                </c:pt>
                <c:pt idx="42">
                  <c:v>189.15846312255007</c:v>
                </c:pt>
                <c:pt idx="43">
                  <c:v>202.87399925240891</c:v>
                </c:pt>
                <c:pt idx="44">
                  <c:v>217.58402396197042</c:v>
                </c:pt>
                <c:pt idx="45">
                  <c:v>233.36064580942667</c:v>
                </c:pt>
                <c:pt idx="46">
                  <c:v>250.28120181337769</c:v>
                </c:pt>
                <c:pt idx="47">
                  <c:v>268.42863655898532</c:v>
                </c:pt>
                <c:pt idx="48">
                  <c:v>287.89190879242648</c:v>
                </c:pt>
                <c:pt idx="49">
                  <c:v>308.76642749677018</c:v>
                </c:pt>
                <c:pt idx="50">
                  <c:v>331.15451958692296</c:v>
                </c:pt>
                <c:pt idx="51">
                  <c:v>355.16593151628467</c:v>
                </c:pt>
                <c:pt idx="52">
                  <c:v>380.9183672539902</c:v>
                </c:pt>
                <c:pt idx="53">
                  <c:v>408.53806526990286</c:v>
                </c:pt>
                <c:pt idx="54">
                  <c:v>438.16041735573998</c:v>
                </c:pt>
                <c:pt idx="55">
                  <c:v>469.93063231579328</c:v>
                </c:pt>
                <c:pt idx="56">
                  <c:v>504.00444778065548</c:v>
                </c:pt>
                <c:pt idx="57">
                  <c:v>540.54889363326674</c:v>
                </c:pt>
                <c:pt idx="58">
                  <c:v>579.74311078959374</c:v>
                </c:pt>
                <c:pt idx="59">
                  <c:v>621.77922934760909</c:v>
                </c:pt>
                <c:pt idx="60">
                  <c:v>666.86331040925268</c:v>
                </c:pt>
                <c:pt idx="61">
                  <c:v>715.21635619219387</c:v>
                </c:pt>
                <c:pt idx="62">
                  <c:v>767.07539338295783</c:v>
                </c:pt>
                <c:pt idx="63">
                  <c:v>822.69463504201906</c:v>
                </c:pt>
                <c:pt idx="64">
                  <c:v>882.34672675651746</c:v>
                </c:pt>
                <c:pt idx="65">
                  <c:v>946.32408314924396</c:v>
                </c:pt>
                <c:pt idx="66">
                  <c:v>1014.9403212954599</c:v>
                </c:pt>
                <c:pt idx="67">
                  <c:v>1088.531798074164</c:v>
                </c:pt>
                <c:pt idx="68">
                  <c:v>1167.4592589899041</c:v>
                </c:pt>
                <c:pt idx="69">
                  <c:v>1252.1096065476588</c:v>
                </c:pt>
                <c:pt idx="70">
                  <c:v>1342.8977968493623</c:v>
                </c:pt>
                <c:pt idx="71">
                  <c:v>1440.2688737092044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29-C144-9B36-512BFDD87732}"/>
            </c:ext>
          </c:extLst>
        </c:ser>
        <c:ser>
          <c:idx val="1"/>
          <c:order val="1"/>
          <c:tx>
            <c:strRef>
              <c:f>'Malthusian Model'!$C$3</c:f>
              <c:strCache>
                <c:ptCount val="1"/>
                <c:pt idx="0">
                  <c:v>Euler Method</c:v>
                </c:pt>
              </c:strCache>
            </c:strRef>
          </c:tx>
          <c:spPr>
            <a:ln w="2540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'Malthusian Model'!$A$4:$A$503</c:f>
              <c:numCache>
                <c:formatCode>0.0</c:formatCode>
                <c:ptCount val="500"/>
                <c:pt idx="0">
                  <c:v>0</c:v>
                </c:pt>
                <c:pt idx="1">
                  <c:v>0.7</c:v>
                </c:pt>
                <c:pt idx="2">
                  <c:v>1.4</c:v>
                </c:pt>
                <c:pt idx="3">
                  <c:v>2.0999999999999996</c:v>
                </c:pt>
                <c:pt idx="4">
                  <c:v>2.8</c:v>
                </c:pt>
                <c:pt idx="5">
                  <c:v>3.5</c:v>
                </c:pt>
                <c:pt idx="6">
                  <c:v>4.2</c:v>
                </c:pt>
                <c:pt idx="7">
                  <c:v>4.9000000000000004</c:v>
                </c:pt>
                <c:pt idx="8">
                  <c:v>5.6000000000000005</c:v>
                </c:pt>
                <c:pt idx="9">
                  <c:v>6.3000000000000007</c:v>
                </c:pt>
                <c:pt idx="10">
                  <c:v>7.0000000000000009</c:v>
                </c:pt>
                <c:pt idx="11">
                  <c:v>7.7000000000000011</c:v>
                </c:pt>
                <c:pt idx="12">
                  <c:v>8.4</c:v>
                </c:pt>
                <c:pt idx="13">
                  <c:v>9.1</c:v>
                </c:pt>
                <c:pt idx="14">
                  <c:v>9.7999999999999989</c:v>
                </c:pt>
                <c:pt idx="15">
                  <c:v>10.499999999999998</c:v>
                </c:pt>
                <c:pt idx="16">
                  <c:v>11.199999999999998</c:v>
                </c:pt>
                <c:pt idx="17">
                  <c:v>11.899999999999997</c:v>
                </c:pt>
                <c:pt idx="18">
                  <c:v>12.599999999999996</c:v>
                </c:pt>
                <c:pt idx="19">
                  <c:v>13.299999999999995</c:v>
                </c:pt>
                <c:pt idx="20">
                  <c:v>13.999999999999995</c:v>
                </c:pt>
                <c:pt idx="21">
                  <c:v>14.699999999999994</c:v>
                </c:pt>
                <c:pt idx="22">
                  <c:v>15.399999999999993</c:v>
                </c:pt>
                <c:pt idx="23">
                  <c:v>16.099999999999994</c:v>
                </c:pt>
                <c:pt idx="24">
                  <c:v>16.799999999999994</c:v>
                </c:pt>
                <c:pt idx="25">
                  <c:v>17.499999999999993</c:v>
                </c:pt>
                <c:pt idx="26">
                  <c:v>18.199999999999992</c:v>
                </c:pt>
                <c:pt idx="27">
                  <c:v>18.899999999999991</c:v>
                </c:pt>
                <c:pt idx="28">
                  <c:v>19.599999999999991</c:v>
                </c:pt>
                <c:pt idx="29">
                  <c:v>20.29999999999999</c:v>
                </c:pt>
                <c:pt idx="30">
                  <c:v>20.999999999999989</c:v>
                </c:pt>
                <c:pt idx="31">
                  <c:v>21.699999999999989</c:v>
                </c:pt>
                <c:pt idx="32">
                  <c:v>22.399999999999988</c:v>
                </c:pt>
                <c:pt idx="33">
                  <c:v>23.099999999999987</c:v>
                </c:pt>
                <c:pt idx="34">
                  <c:v>23.799999999999986</c:v>
                </c:pt>
                <c:pt idx="35">
                  <c:v>24.499999999999986</c:v>
                </c:pt>
                <c:pt idx="36">
                  <c:v>25.199999999999985</c:v>
                </c:pt>
                <c:pt idx="37">
                  <c:v>25.899999999999984</c:v>
                </c:pt>
                <c:pt idx="38">
                  <c:v>26.599999999999984</c:v>
                </c:pt>
                <c:pt idx="39">
                  <c:v>27.299999999999983</c:v>
                </c:pt>
                <c:pt idx="40">
                  <c:v>27.999999999999982</c:v>
                </c:pt>
                <c:pt idx="41">
                  <c:v>28.699999999999982</c:v>
                </c:pt>
                <c:pt idx="42">
                  <c:v>29.399999999999981</c:v>
                </c:pt>
                <c:pt idx="43">
                  <c:v>30.09999999999998</c:v>
                </c:pt>
                <c:pt idx="44">
                  <c:v>30.799999999999979</c:v>
                </c:pt>
                <c:pt idx="45">
                  <c:v>31.499999999999979</c:v>
                </c:pt>
                <c:pt idx="46">
                  <c:v>32.199999999999982</c:v>
                </c:pt>
                <c:pt idx="47">
                  <c:v>32.899999999999984</c:v>
                </c:pt>
                <c:pt idx="48">
                  <c:v>33.599999999999987</c:v>
                </c:pt>
                <c:pt idx="49">
                  <c:v>34.29999999999999</c:v>
                </c:pt>
                <c:pt idx="50">
                  <c:v>34.999999999999993</c:v>
                </c:pt>
                <c:pt idx="51">
                  <c:v>35.699999999999996</c:v>
                </c:pt>
                <c:pt idx="52">
                  <c:v>36.4</c:v>
                </c:pt>
                <c:pt idx="53">
                  <c:v>37.1</c:v>
                </c:pt>
                <c:pt idx="54">
                  <c:v>37.800000000000004</c:v>
                </c:pt>
                <c:pt idx="55">
                  <c:v>38.500000000000007</c:v>
                </c:pt>
                <c:pt idx="56">
                  <c:v>39.20000000000001</c:v>
                </c:pt>
                <c:pt idx="57">
                  <c:v>39.900000000000013</c:v>
                </c:pt>
                <c:pt idx="58">
                  <c:v>40.600000000000016</c:v>
                </c:pt>
                <c:pt idx="59">
                  <c:v>41.300000000000018</c:v>
                </c:pt>
                <c:pt idx="60">
                  <c:v>42.000000000000021</c:v>
                </c:pt>
                <c:pt idx="61">
                  <c:v>42.700000000000024</c:v>
                </c:pt>
                <c:pt idx="62">
                  <c:v>43.400000000000027</c:v>
                </c:pt>
                <c:pt idx="63">
                  <c:v>44.10000000000003</c:v>
                </c:pt>
                <c:pt idx="64">
                  <c:v>44.800000000000033</c:v>
                </c:pt>
                <c:pt idx="65">
                  <c:v>45.500000000000036</c:v>
                </c:pt>
                <c:pt idx="66">
                  <c:v>46.200000000000038</c:v>
                </c:pt>
                <c:pt idx="67">
                  <c:v>46.900000000000041</c:v>
                </c:pt>
                <c:pt idx="68">
                  <c:v>47.600000000000044</c:v>
                </c:pt>
                <c:pt idx="69">
                  <c:v>48.300000000000047</c:v>
                </c:pt>
                <c:pt idx="70">
                  <c:v>49.00000000000005</c:v>
                </c:pt>
                <c:pt idx="71">
                  <c:v>49.700000000000053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'Malthusian Model'!$C$4:$C$503</c:f>
              <c:numCache>
                <c:formatCode>0.0</c:formatCode>
                <c:ptCount val="500"/>
                <c:pt idx="0">
                  <c:v>10</c:v>
                </c:pt>
                <c:pt idx="1">
                  <c:v>10.7</c:v>
                </c:pt>
                <c:pt idx="2">
                  <c:v>11.449</c:v>
                </c:pt>
                <c:pt idx="3">
                  <c:v>12.25043</c:v>
                </c:pt>
                <c:pt idx="4">
                  <c:v>13.1079601</c:v>
                </c:pt>
                <c:pt idx="5">
                  <c:v>14.025517306999999</c:v>
                </c:pt>
                <c:pt idx="6">
                  <c:v>15.00730351849</c:v>
                </c:pt>
                <c:pt idx="7">
                  <c:v>16.0578147647843</c:v>
                </c:pt>
                <c:pt idx="8">
                  <c:v>17.181861798319201</c:v>
                </c:pt>
                <c:pt idx="9">
                  <c:v>18.384592124201546</c:v>
                </c:pt>
                <c:pt idx="10">
                  <c:v>19.671513572895655</c:v>
                </c:pt>
                <c:pt idx="11">
                  <c:v>21.048519522998351</c:v>
                </c:pt>
                <c:pt idx="12">
                  <c:v>22.521915889608234</c:v>
                </c:pt>
                <c:pt idx="13">
                  <c:v>24.09845000188081</c:v>
                </c:pt>
                <c:pt idx="14">
                  <c:v>25.785341502012468</c:v>
                </c:pt>
                <c:pt idx="15">
                  <c:v>27.590315407153341</c:v>
                </c:pt>
                <c:pt idx="16">
                  <c:v>29.521637485654075</c:v>
                </c:pt>
                <c:pt idx="17">
                  <c:v>31.588152109649862</c:v>
                </c:pt>
                <c:pt idx="18">
                  <c:v>33.799322757325349</c:v>
                </c:pt>
                <c:pt idx="19">
                  <c:v>36.165275350338121</c:v>
                </c:pt>
                <c:pt idx="20">
                  <c:v>38.696844624861789</c:v>
                </c:pt>
                <c:pt idx="21">
                  <c:v>41.405623748602117</c:v>
                </c:pt>
                <c:pt idx="22">
                  <c:v>44.304017411004267</c:v>
                </c:pt>
                <c:pt idx="23">
                  <c:v>47.405298629774563</c:v>
                </c:pt>
                <c:pt idx="24">
                  <c:v>50.723669533858782</c:v>
                </c:pt>
                <c:pt idx="25">
                  <c:v>54.274326401228898</c:v>
                </c:pt>
                <c:pt idx="26">
                  <c:v>58.073529249314923</c:v>
                </c:pt>
                <c:pt idx="27">
                  <c:v>62.138676296766967</c:v>
                </c:pt>
                <c:pt idx="28">
                  <c:v>66.48838363754065</c:v>
                </c:pt>
                <c:pt idx="29">
                  <c:v>71.142570492168502</c:v>
                </c:pt>
                <c:pt idx="30">
                  <c:v>76.122550426620293</c:v>
                </c:pt>
                <c:pt idx="31">
                  <c:v>81.451128956483714</c:v>
                </c:pt>
                <c:pt idx="32">
                  <c:v>87.15270798343758</c:v>
                </c:pt>
                <c:pt idx="33">
                  <c:v>93.253397542278208</c:v>
                </c:pt>
                <c:pt idx="34">
                  <c:v>99.781135370237678</c:v>
                </c:pt>
                <c:pt idx="35">
                  <c:v>106.76581484615431</c:v>
                </c:pt>
                <c:pt idx="36">
                  <c:v>114.23942188538511</c:v>
                </c:pt>
                <c:pt idx="37">
                  <c:v>122.23618141736208</c:v>
                </c:pt>
                <c:pt idx="38">
                  <c:v>130.79271411657743</c:v>
                </c:pt>
                <c:pt idx="39">
                  <c:v>139.94820410473784</c:v>
                </c:pt>
                <c:pt idx="40">
                  <c:v>149.74457839206949</c:v>
                </c:pt>
                <c:pt idx="41">
                  <c:v>160.22669887951434</c:v>
                </c:pt>
                <c:pt idx="42">
                  <c:v>171.44256780108034</c:v>
                </c:pt>
                <c:pt idx="43">
                  <c:v>183.44354754715596</c:v>
                </c:pt>
                <c:pt idx="44">
                  <c:v>196.28459587545689</c:v>
                </c:pt>
                <c:pt idx="45">
                  <c:v>210.02451758673888</c:v>
                </c:pt>
                <c:pt idx="46">
                  <c:v>224.72623381781059</c:v>
                </c:pt>
                <c:pt idx="47">
                  <c:v>240.45707018505735</c:v>
                </c:pt>
                <c:pt idx="48">
                  <c:v>257.28906509801135</c:v>
                </c:pt>
                <c:pt idx="49">
                  <c:v>275.29929965487213</c:v>
                </c:pt>
                <c:pt idx="50">
                  <c:v>294.57025063071319</c:v>
                </c:pt>
                <c:pt idx="51">
                  <c:v>315.19016817486312</c:v>
                </c:pt>
                <c:pt idx="52">
                  <c:v>337.25347994710353</c:v>
                </c:pt>
                <c:pt idx="53">
                  <c:v>360.8612235434008</c:v>
                </c:pt>
                <c:pt idx="54">
                  <c:v>386.12150919143886</c:v>
                </c:pt>
                <c:pt idx="55">
                  <c:v>413.15001483483957</c:v>
                </c:pt>
                <c:pt idx="56">
                  <c:v>442.07051587327834</c:v>
                </c:pt>
                <c:pt idx="57">
                  <c:v>473.01545198440783</c:v>
                </c:pt>
                <c:pt idx="58">
                  <c:v>506.12653362331639</c:v>
                </c:pt>
                <c:pt idx="59">
                  <c:v>541.5553909769485</c:v>
                </c:pt>
                <c:pt idx="60">
                  <c:v>579.46426834533486</c:v>
                </c:pt>
                <c:pt idx="61">
                  <c:v>620.02676712950824</c:v>
                </c:pt>
                <c:pt idx="62">
                  <c:v>663.42864082857386</c:v>
                </c:pt>
                <c:pt idx="63">
                  <c:v>709.86864568657404</c:v>
                </c:pt>
                <c:pt idx="64">
                  <c:v>759.5594508846342</c:v>
                </c:pt>
                <c:pt idx="65">
                  <c:v>812.7286124465586</c:v>
                </c:pt>
                <c:pt idx="66">
                  <c:v>869.61961531781776</c:v>
                </c:pt>
                <c:pt idx="67">
                  <c:v>930.49298839006497</c:v>
                </c:pt>
                <c:pt idx="68">
                  <c:v>995.62749757736947</c:v>
                </c:pt>
                <c:pt idx="69">
                  <c:v>1065.3214224077853</c:v>
                </c:pt>
                <c:pt idx="70">
                  <c:v>1139.8939219763304</c:v>
                </c:pt>
                <c:pt idx="71">
                  <c:v>1219.6864965146735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29-C144-9B36-512BFDD87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(t)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Population (P)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CZ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>
      <a:solidFill>
        <a:schemeClr val="tx1">
          <a:lumMod val="65000"/>
          <a:lumOff val="35000"/>
        </a:schemeClr>
      </a:solidFill>
    </a:ln>
  </c:spPr>
  <c:txPr>
    <a:bodyPr/>
    <a:lstStyle/>
    <a:p>
      <a:pPr>
        <a:defRPr sz="1200">
          <a:latin typeface="Open Sans Light" pitchFamily="2" charset="0"/>
          <a:ea typeface="Open Sans Light" pitchFamily="2" charset="0"/>
          <a:cs typeface="Open Sans Light" pitchFamily="2" charset="0"/>
        </a:defRPr>
      </a:pPr>
      <a:endParaRPr lang="en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Logistic Growth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292511732864479"/>
          <c:y val="8.7913419736202106E-2"/>
          <c:w val="0.83517339245337641"/>
          <c:h val="0.736621982152408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'Logistic Model'!$B$3</c:f>
              <c:strCache>
                <c:ptCount val="1"/>
                <c:pt idx="0">
                  <c:v>Explicit Formula</c:v>
                </c:pt>
              </c:strCache>
            </c:strRef>
          </c:tx>
          <c:spPr>
            <a:ln w="25400">
              <a:solidFill>
                <a:srgbClr val="4F81BD"/>
              </a:solidFill>
            </a:ln>
          </c:spPr>
          <c:marker>
            <c:symbol val="circle"/>
            <c:size val="5"/>
            <c:spPr>
              <a:solidFill>
                <a:srgbClr val="4F81BD"/>
              </a:solidFill>
              <a:ln>
                <a:solidFill>
                  <a:srgbClr val="4F81BD"/>
                </a:solidFill>
              </a:ln>
            </c:spPr>
          </c:marker>
          <c:xVal>
            <c:numRef>
              <c:f>'Logistic Model'!$A$4:$A$503</c:f>
              <c:numCache>
                <c:formatCode>0.0</c:formatCode>
                <c:ptCount val="5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'Logistic Model'!$B$4:$B$503</c:f>
              <c:numCache>
                <c:formatCode>0.0</c:formatCode>
                <c:ptCount val="500"/>
                <c:pt idx="0">
                  <c:v>10</c:v>
                </c:pt>
                <c:pt idx="1">
                  <c:v>10.507323743677079</c:v>
                </c:pt>
                <c:pt idx="2">
                  <c:v>11.04009820811455</c:v>
                </c:pt>
                <c:pt idx="3">
                  <c:v>11.599570350446452</c:v>
                </c:pt>
                <c:pt idx="4">
                  <c:v>12.187045127551077</c:v>
                </c:pt>
                <c:pt idx="5">
                  <c:v>12.803887870999576</c:v>
                </c:pt>
                <c:pt idx="6">
                  <c:v>13.451526724760019</c:v>
                </c:pt>
                <c:pt idx="7">
                  <c:v>14.131455143283061</c:v>
                </c:pt>
                <c:pt idx="8">
                  <c:v>14.845234446979708</c:v>
                </c:pt>
                <c:pt idx="9">
                  <c:v>15.594496431416122</c:v>
                </c:pt>
                <c:pt idx="10">
                  <c:v>16.380946025790074</c:v>
                </c:pt>
                <c:pt idx="11">
                  <c:v>17.206363995412346</c:v>
                </c:pt>
                <c:pt idx="12">
                  <c:v>18.072609681988272</c:v>
                </c:pt>
                <c:pt idx="13">
                  <c:v>18.981623774473846</c:v>
                </c:pt>
                <c:pt idx="14">
                  <c:v>19.935431102160702</c:v>
                </c:pt>
                <c:pt idx="15">
                  <c:v>20.936143440419212</c:v>
                </c:pt>
                <c:pt idx="16">
                  <c:v>21.9859623181923</c:v>
                </c:pt>
                <c:pt idx="17">
                  <c:v>23.087181814878463</c:v>
                </c:pt>
                <c:pt idx="18">
                  <c:v>24.242191332665296</c:v>
                </c:pt>
                <c:pt idx="19">
                  <c:v>25.453478328668893</c:v>
                </c:pt>
                <c:pt idx="20">
                  <c:v>26.723630989395225</c:v>
                </c:pt>
                <c:pt idx="21">
                  <c:v>28.055340828062704</c:v>
                </c:pt>
                <c:pt idx="22">
                  <c:v>29.451405183207687</c:v>
                </c:pt>
                <c:pt idx="23">
                  <c:v>30.914729594734361</c:v>
                </c:pt>
                <c:pt idx="24">
                  <c:v>32.448330031166975</c:v>
                </c:pt>
                <c:pt idx="25">
                  <c:v>34.055334939317092</c:v>
                </c:pt>
                <c:pt idx="26">
                  <c:v>35.738987084894482</c:v>
                </c:pt>
                <c:pt idx="27">
                  <c:v>37.502645149773429</c:v>
                </c:pt>
                <c:pt idx="28">
                  <c:v>39.349785048685852</c:v>
                </c:pt>
                <c:pt idx="29">
                  <c:v>41.284000925060113</c:v>
                </c:pt>
                <c:pt idx="30">
                  <c:v>43.309005782576605</c:v>
                </c:pt>
                <c:pt idx="31">
                  <c:v>45.428631705788128</c:v>
                </c:pt>
                <c:pt idx="32">
                  <c:v>47.646829619880968</c:v>
                </c:pt>
                <c:pt idx="33">
                  <c:v>49.967668536361671</c:v>
                </c:pt>
                <c:pt idx="34">
                  <c:v>52.395334228183444</c:v>
                </c:pt>
                <c:pt idx="35">
                  <c:v>54.934127274617921</c:v>
                </c:pt>
                <c:pt idx="36">
                  <c:v>57.588460413085635</c:v>
                </c:pt>
                <c:pt idx="37">
                  <c:v>60.362855132240618</c:v>
                </c:pt>
                <c:pt idx="38">
                  <c:v>63.261937437931181</c:v>
                </c:pt>
                <c:pt idx="39">
                  <c:v>66.290432721304754</c:v>
                </c:pt>
                <c:pt idx="40">
                  <c:v>69.453159656380478</c:v>
                </c:pt>
                <c:pt idx="41">
                  <c:v>72.755023052971907</c:v>
                </c:pt>
                <c:pt idx="42">
                  <c:v>76.201005590011135</c:v>
                </c:pt>
                <c:pt idx="43">
                  <c:v>79.796158354223252</c:v>
                </c:pt>
                <c:pt idx="44">
                  <c:v>83.545590109844312</c:v>
                </c:pt>
                <c:pt idx="45">
                  <c:v>87.454455226807411</c:v>
                </c:pt>
                <c:pt idx="46">
                  <c:v>91.527940197674241</c:v>
                </c:pt>
                <c:pt idx="47">
                  <c:v>95.771248677709394</c:v>
                </c:pt>
                <c:pt idx="48">
                  <c:v>100.18958498803272</c:v>
                </c:pt>
                <c:pt idx="49">
                  <c:v>104.78813602888421</c:v>
                </c:pt>
                <c:pt idx="50">
                  <c:v>109.57205155884768</c:v>
                </c:pt>
                <c:pt idx="51">
                  <c:v>114.54642280653479</c:v>
                </c:pt>
                <c:pt idx="52">
                  <c:v>119.71625939386274</c:v>
                </c:pt>
                <c:pt idx="53">
                  <c:v>125.08646456477345</c:v>
                </c:pt>
                <c:pt idx="54">
                  <c:v>130.66180873012109</c:v>
                </c:pt>
                <c:pt idx="55">
                  <c:v>136.44690135856561</c:v>
                </c:pt>
                <c:pt idx="56">
                  <c:v>142.44616126465698</c:v>
                </c:pt>
                <c:pt idx="57">
                  <c:v>148.66378536886583</c:v>
                </c:pt>
                <c:pt idx="58">
                  <c:v>155.10371603002585</c:v>
                </c:pt>
                <c:pt idx="59">
                  <c:v>161.76960707836551</c:v>
                </c:pt>
                <c:pt idx="60">
                  <c:v>168.66478870682008</c:v>
                </c:pt>
                <c:pt idx="61">
                  <c:v>175.7922314093465</c:v>
                </c:pt>
                <c:pt idx="62">
                  <c:v>183.15450918715888</c:v>
                </c:pt>
                <c:pt idx="63">
                  <c:v>190.75376227672089</c:v>
                </c:pt>
                <c:pt idx="64">
                  <c:v>198.59165968644112</c:v>
                </c:pt>
                <c:pt idx="65">
                  <c:v>206.66936186171716</c:v>
                </c:pt>
                <c:pt idx="66">
                  <c:v>214.98748382955858</c:v>
                </c:pt>
                <c:pt idx="67">
                  <c:v>223.54605920373203</c:v>
                </c:pt>
                <c:pt idx="68">
                  <c:v>232.34450545837632</c:v>
                </c:pt>
                <c:pt idx="69">
                  <c:v>241.38159090144242</c:v>
                </c:pt>
                <c:pt idx="70">
                  <c:v>250.6554037982348</c:v>
                </c:pt>
                <c:pt idx="71">
                  <c:v>260.16332410880943</c:v>
                </c:pt>
                <c:pt idx="72">
                  <c:v>269.90199831015804</c:v>
                </c:pt>
                <c:pt idx="73">
                  <c:v>279.86731777409551</c:v>
                </c:pt>
                <c:pt idx="74">
                  <c:v>290.05440116381357</c:v>
                </c:pt>
                <c:pt idx="75">
                  <c:v>300.45758129551268</c:v>
                </c:pt>
                <c:pt idx="76">
                  <c:v>311.07039688587082</c:v>
                </c:pt>
                <c:pt idx="77">
                  <c:v>321.88558957104181</c:v>
                </c:pt>
                <c:pt idx="78">
                  <c:v>332.89510653830052</c:v>
                </c:pt>
                <c:pt idx="79">
                  <c:v>344.09010905750347</c:v>
                </c:pt>
                <c:pt idx="80">
                  <c:v>355.46098713664691</c:v>
                </c:pt>
                <c:pt idx="81">
                  <c:v>366.99738045464233</c:v>
                </c:pt>
                <c:pt idx="82">
                  <c:v>378.68820564599628</c:v>
                </c:pt>
                <c:pt idx="83">
                  <c:v>390.5216899275996</c:v>
                </c:pt>
                <c:pt idx="84">
                  <c:v>402.48541096883469</c:v>
                </c:pt>
                <c:pt idx="85">
                  <c:v>414.56634281440233</c:v>
                </c:pt>
                <c:pt idx="86">
                  <c:v>426.75090757660985</c:v>
                </c:pt>
                <c:pt idx="87">
                  <c:v>439.02503252237204</c:v>
                </c:pt>
                <c:pt idx="88">
                  <c:v>451.37421209200659</c:v>
                </c:pt>
                <c:pt idx="89">
                  <c:v>463.78357430419248</c:v>
                </c:pt>
                <c:pt idx="90">
                  <c:v>476.23795092626773</c:v>
                </c:pt>
                <c:pt idx="91">
                  <c:v>488.72195072331982</c:v>
                </c:pt>
                <c:pt idx="92">
                  <c:v>501.22003504500469</c:v>
                </c:pt>
                <c:pt idx="93">
                  <c:v>513.71659496716359</c:v>
                </c:pt>
                <c:pt idx="94">
                  <c:v>526.19602917725979</c:v>
                </c:pt>
                <c:pt idx="95">
                  <c:v>538.64282177916539</c:v>
                </c:pt>
                <c:pt idx="96">
                  <c:v>551.04161919430044</c:v>
                </c:pt>
                <c:pt idx="97">
                  <c:v>563.37730535249034</c:v>
                </c:pt>
                <c:pt idx="98">
                  <c:v>575.6350743967339</c:v>
                </c:pt>
                <c:pt idx="99">
                  <c:v>587.80050017050416</c:v>
                </c:pt>
                <c:pt idx="100">
                  <c:v>599.85960181303471</c:v>
                </c:pt>
                <c:pt idx="101">
                  <c:v>611.79890485576641</c:v>
                </c:pt>
                <c:pt idx="102">
                  <c:v>623.6054972899326</c:v>
                </c:pt>
                <c:pt idx="103">
                  <c:v>635.26708015922259</c:v>
                </c:pt>
                <c:pt idx="104">
                  <c:v>646.7720123204349</c:v>
                </c:pt>
                <c:pt idx="105">
                  <c:v>658.10934910692458</c:v>
                </c:pt>
                <c:pt idx="106">
                  <c:v>669.26887472229976</c:v>
                </c:pt>
                <c:pt idx="107">
                  <c:v>680.24112828322188</c:v>
                </c:pt>
                <c:pt idx="108">
                  <c:v>691.01742351841756</c:v>
                </c:pt>
                <c:pt idx="109">
                  <c:v>701.58986221441023</c:v>
                </c:pt>
                <c:pt idx="110">
                  <c:v>711.95134157559551</c:v>
                </c:pt>
                <c:pt idx="111">
                  <c:v>722.09555573588784</c:v>
                </c:pt>
                <c:pt idx="112">
                  <c:v>732.01699172036103</c:v>
                </c:pt>
                <c:pt idx="113">
                  <c:v>741.71092020744527</c:v>
                </c:pt>
                <c:pt idx="114">
                  <c:v>751.17338148496299</c:v>
                </c:pt>
                <c:pt idx="115">
                  <c:v>760.40116702650539</c:v>
                </c:pt>
                <c:pt idx="116">
                  <c:v>769.39179713849308</c:v>
                </c:pt>
                <c:pt idx="117">
                  <c:v>778.1434951430914</c:v>
                </c:pt>
                <c:pt idx="118">
                  <c:v>786.6551585685072</c:v>
                </c:pt>
                <c:pt idx="119">
                  <c:v>794.92632781672467</c:v>
                </c:pt>
                <c:pt idx="120">
                  <c:v>802.95715277028307</c:v>
                </c:pt>
                <c:pt idx="121">
                  <c:v>810.7483577850694</c:v>
                </c:pt>
                <c:pt idx="122">
                  <c:v>818.30120549624041</c:v>
                </c:pt>
                <c:pt idx="123">
                  <c:v>825.61745984020274</c:v>
                </c:pt>
                <c:pt idx="124">
                  <c:v>832.69934866798008</c:v>
                </c:pt>
                <c:pt idx="125">
                  <c:v>839.54952629515481</c:v>
                </c:pt>
                <c:pt idx="126">
                  <c:v>846.17103630171118</c:v>
                </c:pt>
                <c:pt idx="127">
                  <c:v>852.56727486227351</c:v>
                </c:pt>
                <c:pt idx="128">
                  <c:v>858.74195485412076</c:v>
                </c:pt>
                <c:pt idx="129">
                  <c:v>864.69907095753456</c:v>
                </c:pt>
                <c:pt idx="130">
                  <c:v>870.44286593104323</c:v>
                </c:pt>
                <c:pt idx="131">
                  <c:v>875.97779821336439</c:v>
                </c:pt>
                <c:pt idx="132">
                  <c:v>881.30851097466302</c:v>
                </c:pt>
                <c:pt idx="133">
                  <c:v>886.43980271241014</c:v>
                </c:pt>
                <c:pt idx="134">
                  <c:v>891.37659946182487</c:v>
                </c:pt>
                <c:pt idx="135">
                  <c:v>896.12392866774212</c:v>
                </c:pt>
                <c:pt idx="136">
                  <c:v>900.68689474383598</c:v>
                </c:pt>
                <c:pt idx="137">
                  <c:v>905.07065632645924</c:v>
                </c:pt>
                <c:pt idx="138">
                  <c:v>909.28040521390415</c:v>
                </c:pt>
                <c:pt idx="139">
                  <c:v>913.32134696759169</c:v>
                </c:pt>
                <c:pt idx="140">
                  <c:v>917.19868313946256</c:v>
                </c:pt>
                <c:pt idx="141">
                  <c:v>920.91759507955101</c:v>
                </c:pt>
                <c:pt idx="142">
                  <c:v>924.48322926926369</c:v>
                </c:pt>
                <c:pt idx="143">
                  <c:v>927.90068411909704</c:v>
                </c:pt>
                <c:pt idx="144">
                  <c:v>931.17499816428131</c:v>
                </c:pt>
                <c:pt idx="145">
                  <c:v>934.31113958797789</c:v>
                </c:pt>
                <c:pt idx="146">
                  <c:v>937.31399699902784</c:v>
                </c:pt>
                <c:pt idx="147">
                  <c:v>940.18837138973265</c:v>
                </c:pt>
                <c:pt idx="148">
                  <c:v>942.93896919856934</c:v>
                </c:pt>
                <c:pt idx="149">
                  <c:v>945.57039640300229</c:v>
                </c:pt>
                <c:pt idx="150">
                  <c:v>948.08715356850757</c:v>
                </c:pt>
                <c:pt idx="151">
                  <c:v>950.49363178148303</c:v>
                </c:pt>
                <c:pt idx="152">
                  <c:v>952.79410939573438</c:v>
                </c:pt>
                <c:pt idx="153">
                  <c:v>954.99274952466487</c:v>
                </c:pt>
                <c:pt idx="154">
                  <c:v>957.09359821401415</c:v>
                </c:pt>
                <c:pt idx="155">
                  <c:v>959.10058323295095</c:v>
                </c:pt>
                <c:pt idx="156">
                  <c:v>961.01751342444504</c:v>
                </c:pt>
                <c:pt idx="157">
                  <c:v>962.84807855906888</c:v>
                </c:pt>
                <c:pt idx="158">
                  <c:v>964.5958496396529</c:v>
                </c:pt>
                <c:pt idx="159">
                  <c:v>966.26427960751448</c:v>
                </c:pt>
                <c:pt idx="160">
                  <c:v>967.85670440424121</c:v>
                </c:pt>
                <c:pt idx="161">
                  <c:v>969.37634434622066</c:v>
                </c:pt>
                <c:pt idx="162">
                  <c:v>970.82630577223892</c:v>
                </c:pt>
                <c:pt idx="163">
                  <c:v>972.2095829275047</c:v>
                </c:pt>
                <c:pt idx="164">
                  <c:v>973.52906005036868</c:v>
                </c:pt>
                <c:pt idx="165">
                  <c:v>974.78751363080062</c:v>
                </c:pt>
                <c:pt idx="166">
                  <c:v>975.9876148123476</c:v>
                </c:pt>
                <c:pt idx="167">
                  <c:v>977.13193191180903</c:v>
                </c:pt>
                <c:pt idx="168">
                  <c:v>978.22293303324466</c:v>
                </c:pt>
                <c:pt idx="169">
                  <c:v>979.2629887551584</c:v>
                </c:pt>
                <c:pt idx="170">
                  <c:v>980.25437487179931</c:v>
                </c:pt>
                <c:pt idx="171">
                  <c:v>981.1992751714605</c:v>
                </c:pt>
                <c:pt idx="172">
                  <c:v>982.09978423647613</c:v>
                </c:pt>
                <c:pt idx="173">
                  <c:v>982.95791025129904</c:v>
                </c:pt>
                <c:pt idx="174">
                  <c:v>983.77557780658492</c:v>
                </c:pt>
                <c:pt idx="175">
                  <c:v>984.5546306886506</c:v>
                </c:pt>
                <c:pt idx="176">
                  <c:v>985.29683464498021</c:v>
                </c:pt>
                <c:pt idx="177">
                  <c:v>986.00388011766324</c:v>
                </c:pt>
                <c:pt idx="178">
                  <c:v>986.67738493774209</c:v>
                </c:pt>
                <c:pt idx="179">
                  <c:v>987.31889697445581</c:v>
                </c:pt>
                <c:pt idx="180">
                  <c:v>987.92989673427235</c:v>
                </c:pt>
                <c:pt idx="181">
                  <c:v>988.51179990542948</c:v>
                </c:pt>
                <c:pt idx="182">
                  <c:v>989.065959844448</c:v>
                </c:pt>
                <c:pt idx="183">
                  <c:v>989.59367000175359</c:v>
                </c:pt>
                <c:pt idx="184">
                  <c:v>990.09616628414756</c:v>
                </c:pt>
                <c:pt idx="185">
                  <c:v>990.57462935240096</c:v>
                </c:pt>
                <c:pt idx="186">
                  <c:v>991.03018685273639</c:v>
                </c:pt>
                <c:pt idx="187">
                  <c:v>991.46391558138419</c:v>
                </c:pt>
                <c:pt idx="188">
                  <c:v>991.87684358177603</c:v>
                </c:pt>
                <c:pt idx="189">
                  <c:v>992.26995217428305</c:v>
                </c:pt>
                <c:pt idx="190">
                  <c:v>992.64417791868595</c:v>
                </c:pt>
                <c:pt idx="191">
                  <c:v>993.00041450983315</c:v>
                </c:pt>
                <c:pt idx="192">
                  <c:v>993.33951460715275</c:v>
                </c:pt>
                <c:pt idx="193">
                  <c:v>993.6622915988853</c:v>
                </c:pt>
                <c:pt idx="194">
                  <c:v>993.96952130206478</c:v>
                </c:pt>
                <c:pt idx="195">
                  <c:v>994.26194359940973</c:v>
                </c:pt>
                <c:pt idx="196">
                  <c:v>994.54026401440944</c:v>
                </c:pt>
                <c:pt idx="197">
                  <c:v>994.80515522598228</c:v>
                </c:pt>
                <c:pt idx="198">
                  <c:v>995.05725852416015</c:v>
                </c:pt>
                <c:pt idx="199">
                  <c:v>995.29718520831864</c:v>
                </c:pt>
                <c:pt idx="200">
                  <c:v>995.52551792951476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8-0343-ACAC-DE2C65C0ED74}"/>
            </c:ext>
          </c:extLst>
        </c:ser>
        <c:ser>
          <c:idx val="1"/>
          <c:order val="1"/>
          <c:tx>
            <c:strRef>
              <c:f>'Logistic Model'!$C$3</c:f>
              <c:strCache>
                <c:ptCount val="1"/>
                <c:pt idx="0">
                  <c:v>Euler Method</c:v>
                </c:pt>
              </c:strCache>
            </c:strRef>
          </c:tx>
          <c:spPr>
            <a:ln w="25400">
              <a:solidFill>
                <a:srgbClr val="C0504D"/>
              </a:solidFill>
            </a:ln>
          </c:spPr>
          <c:marker>
            <c:symbol val="circle"/>
            <c:size val="5"/>
            <c:spPr>
              <a:solidFill>
                <a:srgbClr val="C0504D"/>
              </a:solidFill>
              <a:ln>
                <a:solidFill>
                  <a:srgbClr val="C0504D"/>
                </a:solidFill>
              </a:ln>
            </c:spPr>
          </c:marker>
          <c:xVal>
            <c:numRef>
              <c:f>'Logistic Model'!$A$4:$A$503</c:f>
              <c:numCache>
                <c:formatCode>0.0</c:formatCode>
                <c:ptCount val="5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xVal>
          <c:yVal>
            <c:numRef>
              <c:f>'Logistic Model'!$C$4:$C$503</c:f>
              <c:numCache>
                <c:formatCode>0.0</c:formatCode>
                <c:ptCount val="500"/>
                <c:pt idx="0">
                  <c:v>10</c:v>
                </c:pt>
                <c:pt idx="1">
                  <c:v>10.494999999999999</c:v>
                </c:pt>
                <c:pt idx="2">
                  <c:v>11.014242748749998</c:v>
                </c:pt>
                <c:pt idx="3">
                  <c:v>11.558889209021078</c:v>
                </c:pt>
                <c:pt idx="4">
                  <c:v>12.130153273484812</c:v>
                </c:pt>
                <c:pt idx="5">
                  <c:v>12.72930390623714</c:v>
                </c:pt>
                <c:pt idx="6">
                  <c:v>13.35766734265213</c:v>
                </c:pt>
                <c:pt idx="7">
                  <c:v>14.016629345942889</c:v>
                </c:pt>
                <c:pt idx="8">
                  <c:v>14.707637518328955</c:v>
                </c:pt>
                <c:pt idx="9">
                  <c:v>15.432203664176875</c:v>
                </c:pt>
                <c:pt idx="10">
                  <c:v>16.191906201889086</c:v>
                </c:pt>
                <c:pt idx="11">
                  <c:v>16.988392620661003</c:v>
                </c:pt>
                <c:pt idx="12">
                  <c:v>17.823381977502365</c:v>
                </c:pt>
                <c:pt idx="13">
                  <c:v>18.698667429121684</c:v>
                </c:pt>
                <c:pt idx="14">
                  <c:v>19.616118792396524</c:v>
                </c:pt>
                <c:pt idx="15">
                  <c:v>20.577685126192478</c:v>
                </c:pt>
                <c:pt idx="16">
                  <c:v>21.585397326244465</c:v>
                </c:pt>
                <c:pt idx="17">
                  <c:v>22.641370723670097</c:v>
                </c:pt>
                <c:pt idx="18">
                  <c:v>23.747807676441269</c:v>
                </c:pt>
                <c:pt idx="19">
                  <c:v>24.907000141791471</c:v>
                </c:pt>
                <c:pt idx="20">
                  <c:v>26.121332216077885</c:v>
                </c:pt>
                <c:pt idx="21">
                  <c:v>27.393282627044645</c:v>
                </c:pt>
                <c:pt idx="22">
                  <c:v>28.725427161742619</c:v>
                </c:pt>
                <c:pt idx="23">
                  <c:v>30.120441011548522</c:v>
                </c:pt>
                <c:pt idx="24">
                  <c:v>31.581101013789439</c:v>
                </c:pt>
                <c:pt idx="25">
                  <c:v>33.11028776741675</c:v>
                </c:pt>
                <c:pt idx="26">
                  <c:v>34.710987597985529</c:v>
                </c:pt>
                <c:pt idx="27">
                  <c:v>36.386294344883432</c:v>
                </c:pt>
                <c:pt idx="28">
                  <c:v>38.13941094131998</c:v>
                </c:pt>
                <c:pt idx="29">
                  <c:v>39.973650755038435</c:v>
                </c:pt>
                <c:pt idx="30">
                  <c:v>41.892438655056068</c:v>
                </c:pt>
                <c:pt idx="31">
                  <c:v>43.899311766985491</c:v>
                </c:pt>
                <c:pt idx="32">
                  <c:v>45.997919876654016</c:v>
                </c:pt>
                <c:pt idx="33">
                  <c:v>48.19202543883776</c:v>
                </c:pt>
                <c:pt idx="34">
                  <c:v>50.485503144984769</c:v>
                </c:pt>
                <c:pt idx="35">
                  <c:v>52.882339000843892</c:v>
                </c:pt>
                <c:pt idx="36">
                  <c:v>55.386628861976078</c:v>
                </c:pt>
                <c:pt idx="37">
                  <c:v>58.002576372240171</c:v>
                </c:pt>
                <c:pt idx="38">
                  <c:v>60.734490247561304</c:v>
                </c:pt>
                <c:pt idx="39">
                  <c:v>63.586780844657817</c:v>
                </c:pt>
                <c:pt idx="40">
                  <c:v>66.563955951981384</c:v>
                </c:pt>
                <c:pt idx="41">
                  <c:v>69.670615737981592</c:v>
                </c:pt>
                <c:pt idx="42">
                  <c:v>72.911446790015191</c:v>
                </c:pt>
                <c:pt idx="43">
                  <c:v>76.29121517586529</c:v>
                </c:pt>
                <c:pt idx="44">
                  <c:v>79.814758459008047</c:v>
                </c:pt>
                <c:pt idx="45">
                  <c:v>83.486976598564965</c:v>
                </c:pt>
                <c:pt idx="46">
                  <c:v>87.312821665414745</c:v>
                </c:pt>
                <c:pt idx="47">
                  <c:v>91.297286307326658</c:v>
                </c:pt>
                <c:pt idx="48">
                  <c:v>95.445390898338886</c:v>
                </c:pt>
                <c:pt idx="49">
                  <c:v>99.762169311068988</c:v>
                </c:pt>
                <c:pt idx="50">
                  <c:v>104.25265325533992</c:v>
                </c:pt>
                <c:pt idx="51">
                  <c:v>108.92185513256801</c:v>
                </c:pt>
                <c:pt idx="52">
                  <c:v>113.7747493629204</c:v>
                </c:pt>
                <c:pt idx="53">
                  <c:v>118.81625215143666</c:v>
                </c:pt>
                <c:pt idx="54">
                  <c:v>124.0511996702428</c:v>
                </c:pt>
                <c:pt idx="55">
                  <c:v>129.48432464677362</c:v>
                </c:pt>
                <c:pt idx="56">
                  <c:v>135.12023136265074</c:v>
                </c:pt>
                <c:pt idx="57">
                  <c:v>140.96336908460847</c:v>
                </c:pt>
                <c:pt idx="58">
                  <c:v>147.01800396765472</c:v>
                </c:pt>
                <c:pt idx="59">
                  <c:v>153.28818949150579</c:v>
                </c:pt>
                <c:pt idx="60">
                  <c:v>159.77773551420188</c:v>
                </c:pt>
                <c:pt idx="61">
                  <c:v>166.49017605160967</c:v>
                </c:pt>
                <c:pt idx="62">
                  <c:v>173.42873591810536</c:v>
                </c:pt>
                <c:pt idx="63">
                  <c:v>180.59629639190302</c:v>
                </c:pt>
                <c:pt idx="64">
                  <c:v>187.99536009797458</c:v>
                </c:pt>
                <c:pt idx="65">
                  <c:v>195.62801533195497</c:v>
                </c:pt>
                <c:pt idx="66">
                  <c:v>203.49590007941674</c:v>
                </c:pt>
                <c:pt idx="67">
                  <c:v>211.60016601593099</c:v>
                </c:pt>
                <c:pt idx="68">
                  <c:v>219.94144280382906</c:v>
                </c:pt>
                <c:pt idx="69">
                  <c:v>228.51980303088902</c:v>
                </c:pt>
                <c:pt idx="70">
                  <c:v>237.33472816356965</c:v>
                </c:pt>
                <c:pt idx="71">
                  <c:v>246.38507591212436</c:v>
                </c:pt>
                <c:pt idx="72">
                  <c:v>255.66904942611941</c:v>
                </c:pt>
                <c:pt idx="73">
                  <c:v>265.18416875570261</c:v>
                </c:pt>
                <c:pt idx="74">
                  <c:v>274.92724502555512</c:v>
                </c:pt>
                <c:pt idx="75">
                  <c:v>284.89435777396579</c:v>
                </c:pt>
                <c:pt idx="76">
                  <c:v>295.08083590809207</c:v>
                </c:pt>
                <c:pt idx="77">
                  <c:v>305.48124271748577</c:v>
                </c:pt>
                <c:pt idx="78">
                  <c:v>316.08936537074908</c:v>
                </c:pt>
                <c:pt idx="79">
                  <c:v>326.89820929426241</c:v>
                </c:pt>
                <c:pt idx="80">
                  <c:v>337.89999779698576</c:v>
                </c:pt>
                <c:pt idx="81">
                  <c:v>349.08617726127488</c:v>
                </c:pt>
                <c:pt idx="82">
                  <c:v>360.44742816659414</c:v>
                </c:pt>
                <c:pt idx="83">
                  <c:v>371.97368215132826</c:v>
                </c:pt>
                <c:pt idx="84">
                  <c:v>383.65414524823382</c:v>
                </c:pt>
                <c:pt idx="85">
                  <c:v>395.47732735233785</c:v>
                </c:pt>
                <c:pt idx="86">
                  <c:v>407.43107789746733</c:v>
                </c:pt>
                <c:pt idx="87">
                  <c:v>419.50262763050608</c:v>
                </c:pt>
                <c:pt idx="88">
                  <c:v>431.67863628258641</c:v>
                </c:pt>
                <c:pt idx="89">
                  <c:v>443.94524584557604</c:v>
                </c:pt>
                <c:pt idx="90">
                  <c:v>456.28813907241039</c:v>
                </c:pt>
                <c:pt idx="91">
                  <c:v>468.69260273312273</c:v>
                </c:pt>
                <c:pt idx="92">
                  <c:v>481.14359507694144</c:v>
                </c:pt>
                <c:pt idx="93">
                  <c:v>493.62581687661032</c:v>
                </c:pt>
                <c:pt idx="94">
                  <c:v>506.12378536608577</c:v>
                </c:pt>
                <c:pt idx="95">
                  <c:v>518.62191032872522</c:v>
                </c:pt>
                <c:pt idx="96">
                  <c:v>531.10457155151062</c:v>
                </c:pt>
                <c:pt idx="97">
                  <c:v>543.55619683294049</c:v>
                </c:pt>
                <c:pt idx="98">
                  <c:v>555.96133971881295</c:v>
                </c:pt>
                <c:pt idx="99">
                  <c:v>568.30475614165675</c:v>
                </c:pt>
                <c:pt idx="100">
                  <c:v>580.57147915607823</c:v>
                </c:pt>
                <c:pt idx="101">
                  <c:v>592.74689099340833</c:v>
                </c:pt>
                <c:pt idx="102">
                  <c:v>604.81679170396114</c:v>
                </c:pt>
                <c:pt idx="103">
                  <c:v>616.76746371280558</c:v>
                </c:pt>
                <c:pt idx="104">
                  <c:v>628.58573168370947</c:v>
                </c:pt>
                <c:pt idx="105">
                  <c:v>640.2590171640777</c:v>
                </c:pt>
                <c:pt idx="106">
                  <c:v>651.77538756928607</c:v>
                </c:pt>
                <c:pt idx="107">
                  <c:v>663.12359915569573</c:v>
                </c:pt>
                <c:pt idx="108">
                  <c:v>674.29313372562035</c:v>
                </c:pt>
                <c:pt idx="109">
                  <c:v>685.27422890242553</c:v>
                </c:pt>
                <c:pt idx="110">
                  <c:v>696.05790190765617</c:v>
                </c:pt>
                <c:pt idx="111">
                  <c:v>706.63596686263452</c:v>
                </c:pt>
                <c:pt idx="112">
                  <c:v>717.00104572257169</c:v>
                </c:pt>
                <c:pt idx="113">
                  <c:v>727.14657303033721</c:v>
                </c:pt>
                <c:pt idx="114">
                  <c:v>737.06679474836585</c:v>
                </c:pt>
                <c:pt idx="115">
                  <c:v>746.75676148975265</c:v>
                </c:pt>
                <c:pt idx="116">
                  <c:v>756.21231652270717</c:v>
                </c:pt>
                <c:pt idx="117">
                  <c:v>765.43007896581059</c:v>
                </c:pt>
                <c:pt idx="118">
                  <c:v>774.40742262482081</c:v>
                </c:pt>
                <c:pt idx="119">
                  <c:v>783.14245094524097</c:v>
                </c:pt>
                <c:pt idx="120">
                  <c:v>791.63396856887709</c:v>
                </c:pt>
                <c:pt idx="121">
                  <c:v>799.88144998771543</c:v>
                </c:pt>
                <c:pt idx="122">
                  <c:v>807.88500578537867</c:v>
                </c:pt>
                <c:pt idx="123">
                  <c:v>815.64534694600559</c:v>
                </c:pt>
                <c:pt idx="124">
                  <c:v>823.16374769357242</c:v>
                </c:pt>
                <c:pt idx="125">
                  <c:v>830.4420073024047</c:v>
                </c:pt>
                <c:pt idx="126">
                  <c:v>837.48241129290261</c:v>
                </c:pt>
                <c:pt idx="127">
                  <c:v>844.28769239629901</c:v>
                </c:pt>
                <c:pt idx="128">
                  <c:v>850.86099163952053</c:v>
                </c:pt>
                <c:pt idx="129">
                  <c:v>857.20581986680713</c:v>
                </c:pt>
                <c:pt idx="130">
                  <c:v>863.3260199794712</c:v>
                </c:pt>
                <c:pt idx="131">
                  <c:v>869.22573013976501</c:v>
                </c:pt>
                <c:pt idx="132">
                  <c:v>874.90934814990283</c:v>
                </c:pt>
                <c:pt idx="133">
                  <c:v>880.38149718339355</c:v>
                </c:pt>
                <c:pt idx="134">
                  <c:v>885.64699301341955</c:v>
                </c:pt>
                <c:pt idx="135">
                  <c:v>890.71081285240496</c:v>
                </c:pt>
                <c:pt idx="136">
                  <c:v>895.57806588841561</c:v>
                </c:pt>
                <c:pt idx="137">
                  <c:v>900.2539655778146</c:v>
                </c:pt>
                <c:pt idx="138">
                  <c:v>904.74380372977623</c:v>
                </c:pt>
                <c:pt idx="139">
                  <c:v>909.05292639689389</c:v>
                </c:pt>
                <c:pt idx="140">
                  <c:v>913.18671156720075</c:v>
                </c:pt>
                <c:pt idx="141">
                  <c:v>917.1505486364149</c:v>
                </c:pt>
                <c:pt idx="142">
                  <c:v>920.94981962503175</c:v>
                </c:pt>
                <c:pt idx="143">
                  <c:v>924.58988209291442</c:v>
                </c:pt>
                <c:pt idx="144">
                  <c:v>928.07605369413068</c:v>
                </c:pt>
                <c:pt idx="145">
                  <c:v>931.4135983068137</c:v>
                </c:pt>
                <c:pt idx="146">
                  <c:v>934.60771366661209</c:v>
                </c:pt>
                <c:pt idx="147">
                  <c:v>937.66352042768608</c:v>
                </c:pt>
                <c:pt idx="148">
                  <c:v>940.58605257202828</c:v>
                </c:pt>
                <c:pt idx="149">
                  <c:v>943.38024908597822</c:v>
                </c:pt>
                <c:pt idx="150">
                  <c:v>946.05094682200104</c:v>
                </c:pt>
                <c:pt idx="151">
                  <c:v>948.6028744639608</c:v>
                </c:pt>
                <c:pt idx="152">
                  <c:v>951.04064751509441</c:v>
                </c:pt>
                <c:pt idx="153">
                  <c:v>953.36876422955265</c:v>
                </c:pt>
                <c:pt idx="154">
                  <c:v>955.59160241060101</c:v>
                </c:pt>
                <c:pt idx="155">
                  <c:v>957.7134170012481</c:v>
                </c:pt>
                <c:pt idx="156">
                  <c:v>959.73833839610018</c:v>
                </c:pt>
                <c:pt idx="157">
                  <c:v>961.67037140653986</c:v>
                </c:pt>
                <c:pt idx="158">
                  <c:v>963.51339481480727</c:v>
                </c:pt>
                <c:pt idx="159">
                  <c:v>965.27116145616992</c:v>
                </c:pt>
                <c:pt idx="160">
                  <c:v>966.94729877203122</c:v>
                </c:pt>
                <c:pt idx="161">
                  <c:v>968.54530978050639</c:v>
                </c:pt>
                <c:pt idx="162">
                  <c:v>970.06857441464081</c:v>
                </c:pt>
                <c:pt idx="163">
                  <c:v>971.52035118203014</c:v>
                </c:pt>
                <c:pt idx="164">
                  <c:v>972.90377910308894</c:v>
                </c:pt>
                <c:pt idx="165">
                  <c:v>974.2218798885898</c:v>
                </c:pt>
                <c:pt idx="166">
                  <c:v>975.47756032033635</c:v>
                </c:pt>
                <c:pt idx="167">
                  <c:v>976.67361480192744</c:v>
                </c:pt>
                <c:pt idx="168">
                  <c:v>977.81272804951061</c:v>
                </c:pt>
                <c:pt idx="169">
                  <c:v>978.89747789520482</c:v>
                </c:pt>
                <c:pt idx="170">
                  <c:v>979.93033817848539</c:v>
                </c:pt>
                <c:pt idx="171">
                  <c:v>980.91368170327962</c:v>
                </c:pt>
                <c:pt idx="172">
                  <c:v>981.84978324080942</c:v>
                </c:pt>
                <c:pt idx="173">
                  <c:v>982.74082256034865</c:v>
                </c:pt>
                <c:pt idx="174">
                  <c:v>983.5888874720365</c:v>
                </c:pt>
                <c:pt idx="175">
                  <c:v>984.39597686771435</c:v>
                </c:pt>
                <c:pt idx="176">
                  <c:v>985.16400374743296</c:v>
                </c:pt>
                <c:pt idx="177">
                  <c:v>985.89479822082103</c:v>
                </c:pt>
                <c:pt idx="178">
                  <c:v>986.59011047391846</c:v>
                </c:pt>
                <c:pt idx="179">
                  <c:v>987.2516136933674</c:v>
                </c:pt>
                <c:pt idx="180">
                  <c:v>987.88090694102789</c:v>
                </c:pt>
                <c:pt idx="181">
                  <c:v>988.47951797314784</c:v>
                </c:pt>
                <c:pt idx="182">
                  <c:v>989.04890599918394</c:v>
                </c:pt>
                <c:pt idx="183">
                  <c:v>989.59046437623397</c:v>
                </c:pt>
                <c:pt idx="184">
                  <c:v>990.10552323582715</c:v>
                </c:pt>
                <c:pt idx="185">
                  <c:v>990.59535204051394</c:v>
                </c:pt>
                <c:pt idx="186">
                  <c:v>991.0611620683261</c:v>
                </c:pt>
                <c:pt idx="187">
                  <c:v>991.50410882373137</c:v>
                </c:pt>
                <c:pt idx="188">
                  <c:v>991.9252943742008</c:v>
                </c:pt>
                <c:pt idx="189">
                  <c:v>992.32576961194354</c:v>
                </c:pt>
                <c:pt idx="190">
                  <c:v>992.70653644074389</c:v>
                </c:pt>
                <c:pt idx="191">
                  <c:v>993.06854988817213</c:v>
                </c:pt>
                <c:pt idx="192">
                  <c:v>993.41272014373089</c:v>
                </c:pt>
                <c:pt idx="193">
                  <c:v>993.73991452374912</c:v>
                </c:pt>
                <c:pt idx="194">
                  <c:v>994.05095936405314</c:v>
                </c:pt>
                <c:pt idx="195">
                  <c:v>994.34664184162602</c:v>
                </c:pt>
                <c:pt idx="196">
                  <c:v>994.62771172662133</c:v>
                </c:pt>
                <c:pt idx="197">
                  <c:v>994.8948830662257</c:v>
                </c:pt>
                <c:pt idx="198">
                  <c:v>995.14883580196908</c:v>
                </c:pt>
                <c:pt idx="199">
                  <c:v>995.39021732216679</c:v>
                </c:pt>
                <c:pt idx="200">
                  <c:v>995.61964395124164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B8-0343-ACAC-DE2C65C0E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(t)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Population (P)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  <c:txPr>
        <a:bodyPr/>
        <a:lstStyle/>
        <a:p>
          <a:pPr>
            <a:defRPr b="1"/>
          </a:pPr>
          <a:endParaRPr lang="en-CZ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>
      <a:solidFill>
        <a:schemeClr val="tx1">
          <a:lumMod val="65000"/>
          <a:lumOff val="35000"/>
        </a:schemeClr>
      </a:solidFill>
    </a:ln>
  </c:spPr>
  <c:txPr>
    <a:bodyPr/>
    <a:lstStyle/>
    <a:p>
      <a:pPr>
        <a:defRPr sz="1400">
          <a:latin typeface="Open Sans Light" pitchFamily="2" charset="0"/>
          <a:ea typeface="Open Sans Light" pitchFamily="2" charset="0"/>
          <a:cs typeface="Open Sans Light" pitchFamily="2" charset="0"/>
        </a:defRPr>
      </a:pPr>
      <a:endParaRPr lang="en-CZ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14</xdr:col>
      <xdr:colOff>596900</xdr:colOff>
      <xdr:row>40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675531</xdr:colOff>
      <xdr:row>9</xdr:row>
      <xdr:rowOff>0</xdr:rowOff>
    </xdr:from>
    <xdr:to>
      <xdr:col>18</xdr:col>
      <xdr:colOff>175637</xdr:colOff>
      <xdr:row>43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3"/>
  <sheetViews>
    <sheetView showGridLines="0" workbookViewId="0">
      <selection activeCell="R25" sqref="R25"/>
    </sheetView>
  </sheetViews>
  <sheetFormatPr baseColWidth="10" defaultColWidth="8.83203125" defaultRowHeight="15" x14ac:dyDescent="0.2"/>
  <cols>
    <col min="1" max="3" width="13.5" style="4" customWidth="1"/>
    <col min="6" max="6" width="10.6640625" customWidth="1"/>
    <col min="7" max="7" width="22.6640625" customWidth="1"/>
    <col min="8" max="8" width="15.6640625" customWidth="1"/>
  </cols>
  <sheetData>
    <row r="1" spans="1:10" ht="29" x14ac:dyDescent="0.4">
      <c r="A1" s="14" t="s">
        <v>14</v>
      </c>
      <c r="E1" s="7"/>
      <c r="F1" s="7"/>
      <c r="G1" s="7"/>
      <c r="H1" s="7"/>
      <c r="I1" s="7"/>
      <c r="J1" s="7"/>
    </row>
    <row r="2" spans="1:10" ht="17" x14ac:dyDescent="0.25">
      <c r="E2" s="7"/>
      <c r="F2" s="7"/>
      <c r="G2" s="7"/>
      <c r="H2" s="7"/>
      <c r="I2" s="7"/>
      <c r="J2" s="7"/>
    </row>
    <row r="3" spans="1:10" ht="17" x14ac:dyDescent="0.25">
      <c r="A3" s="1" t="s">
        <v>8</v>
      </c>
      <c r="B3" s="1" t="s">
        <v>9</v>
      </c>
      <c r="C3" s="1" t="s">
        <v>10</v>
      </c>
      <c r="E3" s="7"/>
      <c r="F3" s="9" t="s">
        <v>0</v>
      </c>
      <c r="G3" s="9" t="s">
        <v>1</v>
      </c>
      <c r="H3" s="9" t="s">
        <v>2</v>
      </c>
      <c r="I3" s="7"/>
      <c r="J3" s="7"/>
    </row>
    <row r="4" spans="1:10" ht="17" x14ac:dyDescent="0.25">
      <c r="A4" s="2">
        <v>0</v>
      </c>
      <c r="B4" s="2">
        <f>$H$4</f>
        <v>10</v>
      </c>
      <c r="C4" s="2">
        <f>$H$4</f>
        <v>10</v>
      </c>
      <c r="E4" s="7"/>
      <c r="F4" s="15" t="s">
        <v>16</v>
      </c>
      <c r="G4" s="11" t="s">
        <v>3</v>
      </c>
      <c r="H4" s="12">
        <v>10</v>
      </c>
      <c r="I4" s="7"/>
      <c r="J4" s="7"/>
    </row>
    <row r="5" spans="1:10" ht="17" x14ac:dyDescent="0.25">
      <c r="A5" s="3">
        <f t="shared" ref="A5:A68" si="0">IF(ISNA(A4), NA(), IF(A4 + $H$6 &lt;= $H$7 + 0.000000001, A4 + $H$6, NA()))</f>
        <v>0.7</v>
      </c>
      <c r="B5" s="3">
        <f t="shared" ref="B5:B68" si="1">IF(ISNA(A5), NA(), $H$4 * EXP($H$5 * A5))</f>
        <v>10.725081812542165</v>
      </c>
      <c r="C5" s="3">
        <f t="shared" ref="C5:C68" si="2">IF(ISNA(A5), NA(), C4 + $H$5 * C4 * $H$6)</f>
        <v>10.7</v>
      </c>
      <c r="E5" s="7"/>
      <c r="F5" s="15" t="s">
        <v>4</v>
      </c>
      <c r="G5" s="11" t="s">
        <v>5</v>
      </c>
      <c r="H5" s="12">
        <v>0.1</v>
      </c>
      <c r="I5" s="7"/>
      <c r="J5" s="7"/>
    </row>
    <row r="6" spans="1:10" ht="17" x14ac:dyDescent="0.25">
      <c r="A6" s="2">
        <f t="shared" si="0"/>
        <v>1.4</v>
      </c>
      <c r="B6" s="2">
        <f t="shared" si="1"/>
        <v>11.502737988572274</v>
      </c>
      <c r="C6" s="2">
        <f t="shared" si="2"/>
        <v>11.449</v>
      </c>
      <c r="E6" s="7"/>
      <c r="F6" s="15" t="s">
        <v>17</v>
      </c>
      <c r="G6" s="11" t="s">
        <v>6</v>
      </c>
      <c r="H6" s="12">
        <v>0.7</v>
      </c>
      <c r="I6" s="7"/>
      <c r="J6" s="7"/>
    </row>
    <row r="7" spans="1:10" ht="17" x14ac:dyDescent="0.25">
      <c r="A7" s="3">
        <f t="shared" si="0"/>
        <v>2.0999999999999996</v>
      </c>
      <c r="B7" s="3">
        <f t="shared" si="1"/>
        <v>12.336780599567431</v>
      </c>
      <c r="C7" s="3">
        <f t="shared" si="2"/>
        <v>12.25043</v>
      </c>
      <c r="E7" s="7"/>
      <c r="F7" s="15" t="s">
        <v>15</v>
      </c>
      <c r="G7" s="11" t="s">
        <v>7</v>
      </c>
      <c r="H7" s="12">
        <v>50</v>
      </c>
      <c r="I7" s="7"/>
      <c r="J7" s="7"/>
    </row>
    <row r="8" spans="1:10" ht="17" x14ac:dyDescent="0.25">
      <c r="A8" s="2">
        <f t="shared" si="0"/>
        <v>2.8</v>
      </c>
      <c r="B8" s="2">
        <f t="shared" si="1"/>
        <v>13.231298123374369</v>
      </c>
      <c r="C8" s="2">
        <f t="shared" si="2"/>
        <v>13.1079601</v>
      </c>
      <c r="E8" s="7"/>
      <c r="F8" s="7"/>
      <c r="G8" s="7"/>
      <c r="H8" s="7"/>
      <c r="I8" s="7"/>
      <c r="J8" s="7"/>
    </row>
    <row r="9" spans="1:10" ht="17" x14ac:dyDescent="0.25">
      <c r="A9" s="3">
        <f t="shared" si="0"/>
        <v>3.5</v>
      </c>
      <c r="B9" s="3">
        <f t="shared" si="1"/>
        <v>14.190675485932573</v>
      </c>
      <c r="C9" s="3">
        <f t="shared" si="2"/>
        <v>14.025517306999999</v>
      </c>
      <c r="E9" s="7"/>
      <c r="F9" s="7"/>
      <c r="G9" s="7"/>
      <c r="H9" s="7"/>
      <c r="I9" s="7"/>
      <c r="J9" s="7"/>
    </row>
    <row r="10" spans="1:10" x14ac:dyDescent="0.2">
      <c r="A10" s="2">
        <f t="shared" si="0"/>
        <v>4.2</v>
      </c>
      <c r="B10" s="2">
        <f t="shared" si="1"/>
        <v>15.219615556186339</v>
      </c>
      <c r="C10" s="2">
        <f t="shared" si="2"/>
        <v>15.00730351849</v>
      </c>
    </row>
    <row r="11" spans="1:10" x14ac:dyDescent="0.2">
      <c r="A11" s="3">
        <f t="shared" si="0"/>
        <v>4.9000000000000004</v>
      </c>
      <c r="B11" s="3">
        <f t="shared" si="1"/>
        <v>16.323162199553792</v>
      </c>
      <c r="C11" s="3">
        <f t="shared" si="2"/>
        <v>16.0578147647843</v>
      </c>
    </row>
    <row r="12" spans="1:10" x14ac:dyDescent="0.2">
      <c r="A12" s="2">
        <f t="shared" si="0"/>
        <v>5.6000000000000005</v>
      </c>
      <c r="B12" s="2">
        <f t="shared" si="1"/>
        <v>17.506725002961012</v>
      </c>
      <c r="C12" s="2">
        <f t="shared" si="2"/>
        <v>17.181861798319201</v>
      </c>
    </row>
    <row r="13" spans="1:10" x14ac:dyDescent="0.2">
      <c r="A13" s="3">
        <f t="shared" si="0"/>
        <v>6.3000000000000007</v>
      </c>
      <c r="B13" s="3">
        <f t="shared" si="1"/>
        <v>18.776105792643435</v>
      </c>
      <c r="C13" s="3">
        <f t="shared" si="2"/>
        <v>18.384592124201546</v>
      </c>
    </row>
    <row r="14" spans="1:10" x14ac:dyDescent="0.2">
      <c r="A14" s="2">
        <f t="shared" si="0"/>
        <v>7.0000000000000009</v>
      </c>
      <c r="B14" s="2">
        <f t="shared" si="1"/>
        <v>20.137527074704771</v>
      </c>
      <c r="C14" s="2">
        <f t="shared" si="2"/>
        <v>19.671513572895655</v>
      </c>
    </row>
    <row r="15" spans="1:10" x14ac:dyDescent="0.2">
      <c r="A15" s="3">
        <f t="shared" si="0"/>
        <v>7.7000000000000011</v>
      </c>
      <c r="B15" s="3">
        <f t="shared" si="1"/>
        <v>21.597662537849153</v>
      </c>
      <c r="C15" s="3">
        <f t="shared" si="2"/>
        <v>21.048519522998351</v>
      </c>
    </row>
    <row r="16" spans="1:10" x14ac:dyDescent="0.2">
      <c r="A16" s="2">
        <f t="shared" si="0"/>
        <v>8.4</v>
      </c>
      <c r="B16" s="2">
        <f t="shared" si="1"/>
        <v>23.163669767810919</v>
      </c>
      <c r="C16" s="2">
        <f t="shared" si="2"/>
        <v>22.521915889608234</v>
      </c>
    </row>
    <row r="17" spans="1:3" x14ac:dyDescent="0.2">
      <c r="A17" s="3">
        <f t="shared" si="0"/>
        <v>9.1</v>
      </c>
      <c r="B17" s="3">
        <f t="shared" si="1"/>
        <v>24.843225333848164</v>
      </c>
      <c r="C17" s="3">
        <f t="shared" si="2"/>
        <v>24.09845000188081</v>
      </c>
    </row>
    <row r="18" spans="1:3" x14ac:dyDescent="0.2">
      <c r="A18" s="2">
        <f t="shared" si="0"/>
        <v>9.7999999999999989</v>
      </c>
      <c r="B18" s="2">
        <f t="shared" si="1"/>
        <v>26.644562419294168</v>
      </c>
      <c r="C18" s="2">
        <f t="shared" si="2"/>
        <v>25.785341502012468</v>
      </c>
    </row>
    <row r="19" spans="1:3" x14ac:dyDescent="0.2">
      <c r="A19" s="3">
        <f t="shared" si="0"/>
        <v>10.499999999999998</v>
      </c>
      <c r="B19" s="3">
        <f t="shared" si="1"/>
        <v>28.576511180631634</v>
      </c>
      <c r="C19" s="3">
        <f t="shared" si="2"/>
        <v>27.590315407153341</v>
      </c>
    </row>
    <row r="20" spans="1:3" x14ac:dyDescent="0.2">
      <c r="A20" s="2">
        <f t="shared" si="0"/>
        <v>11.199999999999998</v>
      </c>
      <c r="B20" s="2">
        <f t="shared" si="1"/>
        <v>30.648542032930017</v>
      </c>
      <c r="C20" s="2">
        <f t="shared" si="2"/>
        <v>29.521637485654075</v>
      </c>
    </row>
    <row r="21" spans="1:3" x14ac:dyDescent="0.2">
      <c r="A21" s="3">
        <f t="shared" si="0"/>
        <v>11.899999999999997</v>
      </c>
      <c r="B21" s="3">
        <f t="shared" si="1"/>
        <v>32.870812073831175</v>
      </c>
      <c r="C21" s="3">
        <f t="shared" si="2"/>
        <v>31.588152109649862</v>
      </c>
    </row>
    <row r="22" spans="1:3" x14ac:dyDescent="0.2">
      <c r="A22" s="2">
        <f t="shared" si="0"/>
        <v>12.599999999999996</v>
      </c>
      <c r="B22" s="2">
        <f t="shared" si="1"/>
        <v>35.254214873653815</v>
      </c>
      <c r="C22" s="2">
        <f t="shared" si="2"/>
        <v>33.799322757325349</v>
      </c>
    </row>
    <row r="23" spans="1:3" x14ac:dyDescent="0.2">
      <c r="A23" s="3">
        <f t="shared" si="0"/>
        <v>13.299999999999995</v>
      </c>
      <c r="B23" s="3">
        <f t="shared" si="1"/>
        <v>37.810433875687792</v>
      </c>
      <c r="C23" s="3">
        <f t="shared" si="2"/>
        <v>36.165275350338121</v>
      </c>
    </row>
    <row r="24" spans="1:3" x14ac:dyDescent="0.2">
      <c r="A24" s="2">
        <f t="shared" si="0"/>
        <v>13.999999999999995</v>
      </c>
      <c r="B24" s="2">
        <f t="shared" si="1"/>
        <v>40.551999668446726</v>
      </c>
      <c r="C24" s="2">
        <f t="shared" si="2"/>
        <v>38.696844624861789</v>
      </c>
    </row>
    <row r="25" spans="1:3" x14ac:dyDescent="0.2">
      <c r="A25" s="3">
        <f t="shared" si="0"/>
        <v>14.699999999999994</v>
      </c>
      <c r="B25" s="3">
        <f t="shared" si="1"/>
        <v>43.492351410627386</v>
      </c>
      <c r="C25" s="3">
        <f t="shared" si="2"/>
        <v>41.405623748602117</v>
      </c>
    </row>
    <row r="26" spans="1:3" x14ac:dyDescent="0.2">
      <c r="A26" s="2">
        <f t="shared" si="0"/>
        <v>15.399999999999993</v>
      </c>
      <c r="B26" s="2">
        <f t="shared" si="1"/>
        <v>46.645902709881227</v>
      </c>
      <c r="C26" s="2">
        <f t="shared" si="2"/>
        <v>44.304017411004267</v>
      </c>
    </row>
    <row r="27" spans="1:3" x14ac:dyDescent="0.2">
      <c r="A27" s="3">
        <f t="shared" si="0"/>
        <v>16.099999999999994</v>
      </c>
      <c r="B27" s="3">
        <f t="shared" si="1"/>
        <v>50.028112278335854</v>
      </c>
      <c r="C27" s="3">
        <f t="shared" si="2"/>
        <v>47.405298629774563</v>
      </c>
    </row>
    <row r="28" spans="1:3" x14ac:dyDescent="0.2">
      <c r="A28" s="2">
        <f t="shared" si="0"/>
        <v>16.799999999999994</v>
      </c>
      <c r="B28" s="2">
        <f t="shared" si="1"/>
        <v>53.655559711219716</v>
      </c>
      <c r="C28" s="2">
        <f t="shared" si="2"/>
        <v>50.723669533858782</v>
      </c>
    </row>
    <row r="29" spans="1:3" x14ac:dyDescent="0.2">
      <c r="A29" s="3">
        <f t="shared" si="0"/>
        <v>17.499999999999993</v>
      </c>
      <c r="B29" s="3">
        <f t="shared" si="1"/>
        <v>57.546026760057259</v>
      </c>
      <c r="C29" s="3">
        <f t="shared" si="2"/>
        <v>54.274326401228898</v>
      </c>
    </row>
    <row r="30" spans="1:3" x14ac:dyDescent="0.2">
      <c r="A30" s="2">
        <f t="shared" si="0"/>
        <v>18.199999999999992</v>
      </c>
      <c r="B30" s="2">
        <f t="shared" si="1"/>
        <v>61.718584498835497</v>
      </c>
      <c r="C30" s="2">
        <f t="shared" si="2"/>
        <v>58.073529249314923</v>
      </c>
    </row>
    <row r="31" spans="1:3" x14ac:dyDescent="0.2">
      <c r="A31" s="3">
        <f t="shared" si="0"/>
        <v>18.899999999999991</v>
      </c>
      <c r="B31" s="3">
        <f t="shared" si="1"/>
        <v>66.193686810430719</v>
      </c>
      <c r="C31" s="3">
        <f t="shared" si="2"/>
        <v>62.138676296766967</v>
      </c>
    </row>
    <row r="32" spans="1:3" x14ac:dyDescent="0.2">
      <c r="A32" s="2">
        <f t="shared" si="0"/>
        <v>19.599999999999991</v>
      </c>
      <c r="B32" s="2">
        <f t="shared" si="1"/>
        <v>70.993270651566263</v>
      </c>
      <c r="C32" s="2">
        <f t="shared" si="2"/>
        <v>66.48838363754065</v>
      </c>
    </row>
    <row r="33" spans="1:3" x14ac:dyDescent="0.2">
      <c r="A33" s="3">
        <f t="shared" si="0"/>
        <v>20.29999999999999</v>
      </c>
      <c r="B33" s="3">
        <f t="shared" si="1"/>
        <v>76.140863587799657</v>
      </c>
      <c r="C33" s="3">
        <f t="shared" si="2"/>
        <v>71.142570492168502</v>
      </c>
    </row>
    <row r="34" spans="1:3" x14ac:dyDescent="0.2">
      <c r="A34" s="2">
        <f t="shared" si="0"/>
        <v>20.999999999999989</v>
      </c>
      <c r="B34" s="2">
        <f t="shared" si="1"/>
        <v>81.661699125676421</v>
      </c>
      <c r="C34" s="2">
        <f t="shared" si="2"/>
        <v>76.122550426620293</v>
      </c>
    </row>
    <row r="35" spans="1:3" x14ac:dyDescent="0.2">
      <c r="A35" s="3">
        <f t="shared" si="0"/>
        <v>21.699999999999989</v>
      </c>
      <c r="B35" s="3">
        <f t="shared" si="1"/>
        <v>87.582840407408256</v>
      </c>
      <c r="C35" s="3">
        <f t="shared" si="2"/>
        <v>81.451128956483714</v>
      </c>
    </row>
    <row r="36" spans="1:3" x14ac:dyDescent="0.2">
      <c r="A36" s="2">
        <f t="shared" si="0"/>
        <v>22.399999999999988</v>
      </c>
      <c r="B36" s="2">
        <f t="shared" si="1"/>
        <v>93.933312874427713</v>
      </c>
      <c r="C36" s="2">
        <f t="shared" si="2"/>
        <v>87.15270798343758</v>
      </c>
    </row>
    <row r="37" spans="1:3" x14ac:dyDescent="0.2">
      <c r="A37" s="3">
        <f t="shared" si="0"/>
        <v>23.099999999999987</v>
      </c>
      <c r="B37" s="3">
        <f t="shared" si="1"/>
        <v>100.74424655013573</v>
      </c>
      <c r="C37" s="3">
        <f t="shared" si="2"/>
        <v>93.253397542278208</v>
      </c>
    </row>
    <row r="38" spans="1:3" x14ac:dyDescent="0.2">
      <c r="A38" s="2">
        <f t="shared" si="0"/>
        <v>23.799999999999986</v>
      </c>
      <c r="B38" s="2">
        <f t="shared" si="1"/>
        <v>108.04902863931244</v>
      </c>
      <c r="C38" s="2">
        <f t="shared" si="2"/>
        <v>99.781135370237678</v>
      </c>
    </row>
    <row r="39" spans="1:3" x14ac:dyDescent="0.2">
      <c r="A39" s="3">
        <f t="shared" si="0"/>
        <v>24.499999999999986</v>
      </c>
      <c r="B39" s="3">
        <f t="shared" si="1"/>
        <v>115.88346719223375</v>
      </c>
      <c r="C39" s="3">
        <f t="shared" si="2"/>
        <v>106.76581484615431</v>
      </c>
    </row>
    <row r="40" spans="1:3" x14ac:dyDescent="0.2">
      <c r="A40" s="2">
        <f t="shared" si="0"/>
        <v>25.199999999999985</v>
      </c>
      <c r="B40" s="2">
        <f t="shared" si="1"/>
        <v>124.28596663577528</v>
      </c>
      <c r="C40" s="2">
        <f t="shared" si="2"/>
        <v>114.23942188538511</v>
      </c>
    </row>
    <row r="41" spans="1:3" x14ac:dyDescent="0.2">
      <c r="A41" s="3">
        <f t="shared" si="0"/>
        <v>25.899999999999984</v>
      </c>
      <c r="B41" s="3">
        <f t="shared" si="1"/>
        <v>133.29771603195755</v>
      </c>
      <c r="C41" s="3">
        <f t="shared" si="2"/>
        <v>122.23618141736208</v>
      </c>
    </row>
    <row r="42" spans="1:3" x14ac:dyDescent="0.2">
      <c r="A42" s="2">
        <f t="shared" si="0"/>
        <v>26.599999999999984</v>
      </c>
      <c r="B42" s="2">
        <f t="shared" si="1"/>
        <v>142.96289098677579</v>
      </c>
      <c r="C42" s="2">
        <f t="shared" si="2"/>
        <v>130.79271411657743</v>
      </c>
    </row>
    <row r="43" spans="1:3" x14ac:dyDescent="0.2">
      <c r="A43" s="3">
        <f t="shared" si="0"/>
        <v>27.299999999999983</v>
      </c>
      <c r="B43" s="3">
        <f t="shared" si="1"/>
        <v>153.32887019907176</v>
      </c>
      <c r="C43" s="3">
        <f t="shared" si="2"/>
        <v>139.94820410473784</v>
      </c>
    </row>
    <row r="44" spans="1:3" x14ac:dyDescent="0.2">
      <c r="A44" s="2">
        <f t="shared" si="0"/>
        <v>27.999999999999982</v>
      </c>
      <c r="B44" s="2">
        <f t="shared" si="1"/>
        <v>164.44646771097027</v>
      </c>
      <c r="C44" s="2">
        <f t="shared" si="2"/>
        <v>149.74457839206949</v>
      </c>
    </row>
    <row r="45" spans="1:3" x14ac:dyDescent="0.2">
      <c r="A45" s="3">
        <f t="shared" si="0"/>
        <v>28.699999999999982</v>
      </c>
      <c r="B45" s="3">
        <f t="shared" si="1"/>
        <v>176.37018199837291</v>
      </c>
      <c r="C45" s="3">
        <f t="shared" si="2"/>
        <v>160.22669887951434</v>
      </c>
    </row>
    <row r="46" spans="1:3" x14ac:dyDescent="0.2">
      <c r="A46" s="2">
        <f t="shared" si="0"/>
        <v>29.399999999999981</v>
      </c>
      <c r="B46" s="2">
        <f t="shared" si="1"/>
        <v>189.15846312255007</v>
      </c>
      <c r="C46" s="2">
        <f t="shared" si="2"/>
        <v>171.44256780108034</v>
      </c>
    </row>
    <row r="47" spans="1:3" x14ac:dyDescent="0.2">
      <c r="A47" s="3">
        <f t="shared" si="0"/>
        <v>30.09999999999998</v>
      </c>
      <c r="B47" s="3">
        <f t="shared" si="1"/>
        <v>202.87399925240891</v>
      </c>
      <c r="C47" s="3">
        <f t="shared" si="2"/>
        <v>183.44354754715596</v>
      </c>
    </row>
    <row r="48" spans="1:3" x14ac:dyDescent="0.2">
      <c r="A48" s="2">
        <f t="shared" si="0"/>
        <v>30.799999999999979</v>
      </c>
      <c r="B48" s="2">
        <f t="shared" si="1"/>
        <v>217.58402396197042</v>
      </c>
      <c r="C48" s="2">
        <f t="shared" si="2"/>
        <v>196.28459587545689</v>
      </c>
    </row>
    <row r="49" spans="1:3" x14ac:dyDescent="0.2">
      <c r="A49" s="3">
        <f t="shared" si="0"/>
        <v>31.499999999999979</v>
      </c>
      <c r="B49" s="3">
        <f t="shared" si="1"/>
        <v>233.36064580942667</v>
      </c>
      <c r="C49" s="3">
        <f t="shared" si="2"/>
        <v>210.02451758673888</v>
      </c>
    </row>
    <row r="50" spans="1:3" x14ac:dyDescent="0.2">
      <c r="A50" s="2">
        <f t="shared" si="0"/>
        <v>32.199999999999982</v>
      </c>
      <c r="B50" s="2">
        <f t="shared" si="1"/>
        <v>250.28120181337769</v>
      </c>
      <c r="C50" s="2">
        <f t="shared" si="2"/>
        <v>224.72623381781059</v>
      </c>
    </row>
    <row r="51" spans="1:3" x14ac:dyDescent="0.2">
      <c r="A51" s="3">
        <f t="shared" si="0"/>
        <v>32.899999999999984</v>
      </c>
      <c r="B51" s="3">
        <f t="shared" si="1"/>
        <v>268.42863655898532</v>
      </c>
      <c r="C51" s="3">
        <f t="shared" si="2"/>
        <v>240.45707018505735</v>
      </c>
    </row>
    <row r="52" spans="1:3" x14ac:dyDescent="0.2">
      <c r="A52" s="2">
        <f t="shared" si="0"/>
        <v>33.599999999999987</v>
      </c>
      <c r="B52" s="2">
        <f t="shared" si="1"/>
        <v>287.89190879242648</v>
      </c>
      <c r="C52" s="2">
        <f t="shared" si="2"/>
        <v>257.28906509801135</v>
      </c>
    </row>
    <row r="53" spans="1:3" x14ac:dyDescent="0.2">
      <c r="A53" s="3">
        <f t="shared" si="0"/>
        <v>34.29999999999999</v>
      </c>
      <c r="B53" s="3">
        <f t="shared" si="1"/>
        <v>308.76642749677018</v>
      </c>
      <c r="C53" s="3">
        <f t="shared" si="2"/>
        <v>275.29929965487213</v>
      </c>
    </row>
    <row r="54" spans="1:3" x14ac:dyDescent="0.2">
      <c r="A54" s="2">
        <f t="shared" si="0"/>
        <v>34.999999999999993</v>
      </c>
      <c r="B54" s="2">
        <f t="shared" si="1"/>
        <v>331.15451958692296</v>
      </c>
      <c r="C54" s="2">
        <f t="shared" si="2"/>
        <v>294.57025063071319</v>
      </c>
    </row>
    <row r="55" spans="1:3" x14ac:dyDescent="0.2">
      <c r="A55" s="3">
        <f t="shared" si="0"/>
        <v>35.699999999999996</v>
      </c>
      <c r="B55" s="3">
        <f t="shared" si="1"/>
        <v>355.16593151628467</v>
      </c>
      <c r="C55" s="3">
        <f t="shared" si="2"/>
        <v>315.19016817486312</v>
      </c>
    </row>
    <row r="56" spans="1:3" x14ac:dyDescent="0.2">
      <c r="A56" s="2">
        <f t="shared" si="0"/>
        <v>36.4</v>
      </c>
      <c r="B56" s="2">
        <f t="shared" si="1"/>
        <v>380.9183672539902</v>
      </c>
      <c r="C56" s="2">
        <f t="shared" si="2"/>
        <v>337.25347994710353</v>
      </c>
    </row>
    <row r="57" spans="1:3" x14ac:dyDescent="0.2">
      <c r="A57" s="3">
        <f t="shared" si="0"/>
        <v>37.1</v>
      </c>
      <c r="B57" s="3">
        <f t="shared" si="1"/>
        <v>408.53806526990286</v>
      </c>
      <c r="C57" s="3">
        <f t="shared" si="2"/>
        <v>360.8612235434008</v>
      </c>
    </row>
    <row r="58" spans="1:3" x14ac:dyDescent="0.2">
      <c r="A58" s="2">
        <f t="shared" si="0"/>
        <v>37.800000000000004</v>
      </c>
      <c r="B58" s="2">
        <f t="shared" si="1"/>
        <v>438.16041735573998</v>
      </c>
      <c r="C58" s="2">
        <f t="shared" si="2"/>
        <v>386.12150919143886</v>
      </c>
    </row>
    <row r="59" spans="1:3" x14ac:dyDescent="0.2">
      <c r="A59" s="3">
        <f t="shared" si="0"/>
        <v>38.500000000000007</v>
      </c>
      <c r="B59" s="3">
        <f t="shared" si="1"/>
        <v>469.93063231579328</v>
      </c>
      <c r="C59" s="3">
        <f t="shared" si="2"/>
        <v>413.15001483483957</v>
      </c>
    </row>
    <row r="60" spans="1:3" x14ac:dyDescent="0.2">
      <c r="A60" s="2">
        <f t="shared" si="0"/>
        <v>39.20000000000001</v>
      </c>
      <c r="B60" s="2">
        <f t="shared" si="1"/>
        <v>504.00444778065548</v>
      </c>
      <c r="C60" s="2">
        <f t="shared" si="2"/>
        <v>442.07051587327834</v>
      </c>
    </row>
    <row r="61" spans="1:3" x14ac:dyDescent="0.2">
      <c r="A61" s="3">
        <f t="shared" si="0"/>
        <v>39.900000000000013</v>
      </c>
      <c r="B61" s="3">
        <f t="shared" si="1"/>
        <v>540.54889363326674</v>
      </c>
      <c r="C61" s="3">
        <f t="shared" si="2"/>
        <v>473.01545198440783</v>
      </c>
    </row>
    <row r="62" spans="1:3" x14ac:dyDescent="0.2">
      <c r="A62" s="2">
        <f t="shared" si="0"/>
        <v>40.600000000000016</v>
      </c>
      <c r="B62" s="2">
        <f t="shared" si="1"/>
        <v>579.74311078959374</v>
      </c>
      <c r="C62" s="2">
        <f t="shared" si="2"/>
        <v>506.12653362331639</v>
      </c>
    </row>
    <row r="63" spans="1:3" x14ac:dyDescent="0.2">
      <c r="A63" s="3">
        <f t="shared" si="0"/>
        <v>41.300000000000018</v>
      </c>
      <c r="B63" s="3">
        <f t="shared" si="1"/>
        <v>621.77922934760909</v>
      </c>
      <c r="C63" s="3">
        <f t="shared" si="2"/>
        <v>541.5553909769485</v>
      </c>
    </row>
    <row r="64" spans="1:3" x14ac:dyDescent="0.2">
      <c r="A64" s="2">
        <f t="shared" si="0"/>
        <v>42.000000000000021</v>
      </c>
      <c r="B64" s="2">
        <f t="shared" si="1"/>
        <v>666.86331040925268</v>
      </c>
      <c r="C64" s="2">
        <f t="shared" si="2"/>
        <v>579.46426834533486</v>
      </c>
    </row>
    <row r="65" spans="1:3" x14ac:dyDescent="0.2">
      <c r="A65" s="3">
        <f t="shared" si="0"/>
        <v>42.700000000000024</v>
      </c>
      <c r="B65" s="3">
        <f t="shared" si="1"/>
        <v>715.21635619219387</v>
      </c>
      <c r="C65" s="3">
        <f t="shared" si="2"/>
        <v>620.02676712950824</v>
      </c>
    </row>
    <row r="66" spans="1:3" x14ac:dyDescent="0.2">
      <c r="A66" s="2">
        <f t="shared" si="0"/>
        <v>43.400000000000027</v>
      </c>
      <c r="B66" s="2">
        <f t="shared" si="1"/>
        <v>767.07539338295783</v>
      </c>
      <c r="C66" s="2">
        <f t="shared" si="2"/>
        <v>663.42864082857386</v>
      </c>
    </row>
    <row r="67" spans="1:3" x14ac:dyDescent="0.2">
      <c r="A67" s="3">
        <f t="shared" si="0"/>
        <v>44.10000000000003</v>
      </c>
      <c r="B67" s="3">
        <f t="shared" si="1"/>
        <v>822.69463504201906</v>
      </c>
      <c r="C67" s="3">
        <f t="shared" si="2"/>
        <v>709.86864568657404</v>
      </c>
    </row>
    <row r="68" spans="1:3" x14ac:dyDescent="0.2">
      <c r="A68" s="2">
        <f t="shared" si="0"/>
        <v>44.800000000000033</v>
      </c>
      <c r="B68" s="2">
        <f t="shared" si="1"/>
        <v>882.34672675651746</v>
      </c>
      <c r="C68" s="2">
        <f t="shared" si="2"/>
        <v>759.5594508846342</v>
      </c>
    </row>
    <row r="69" spans="1:3" x14ac:dyDescent="0.2">
      <c r="A69" s="3">
        <f t="shared" ref="A69:A132" si="3">IF(ISNA(A68), NA(), IF(A68 + $H$6 &lt;= $H$7 + 0.000000001, A68 + $H$6, NA()))</f>
        <v>45.500000000000036</v>
      </c>
      <c r="B69" s="3">
        <f t="shared" ref="B69:B132" si="4">IF(ISNA(A69), NA(), $H$4 * EXP($H$5 * A69))</f>
        <v>946.32408314924396</v>
      </c>
      <c r="C69" s="3">
        <f t="shared" ref="C69:C132" si="5">IF(ISNA(A69), NA(), C68 + $H$5 * C68 * $H$6)</f>
        <v>812.7286124465586</v>
      </c>
    </row>
    <row r="70" spans="1:3" x14ac:dyDescent="0.2">
      <c r="A70" s="2">
        <f t="shared" si="3"/>
        <v>46.200000000000038</v>
      </c>
      <c r="B70" s="2">
        <f t="shared" si="4"/>
        <v>1014.9403212954599</v>
      </c>
      <c r="C70" s="2">
        <f t="shared" si="5"/>
        <v>869.61961531781776</v>
      </c>
    </row>
    <row r="71" spans="1:3" x14ac:dyDescent="0.2">
      <c r="A71" s="3">
        <f t="shared" si="3"/>
        <v>46.900000000000041</v>
      </c>
      <c r="B71" s="3">
        <f t="shared" si="4"/>
        <v>1088.531798074164</v>
      </c>
      <c r="C71" s="3">
        <f t="shared" si="5"/>
        <v>930.49298839006497</v>
      </c>
    </row>
    <row r="72" spans="1:3" x14ac:dyDescent="0.2">
      <c r="A72" s="2">
        <f t="shared" si="3"/>
        <v>47.600000000000044</v>
      </c>
      <c r="B72" s="2">
        <f t="shared" si="4"/>
        <v>1167.4592589899041</v>
      </c>
      <c r="C72" s="2">
        <f t="shared" si="5"/>
        <v>995.62749757736947</v>
      </c>
    </row>
    <row r="73" spans="1:3" x14ac:dyDescent="0.2">
      <c r="A73" s="3">
        <f t="shared" si="3"/>
        <v>48.300000000000047</v>
      </c>
      <c r="B73" s="3">
        <f t="shared" si="4"/>
        <v>1252.1096065476588</v>
      </c>
      <c r="C73" s="3">
        <f t="shared" si="5"/>
        <v>1065.3214224077853</v>
      </c>
    </row>
    <row r="74" spans="1:3" x14ac:dyDescent="0.2">
      <c r="A74" s="2">
        <f t="shared" si="3"/>
        <v>49.00000000000005</v>
      </c>
      <c r="B74" s="2">
        <f t="shared" si="4"/>
        <v>1342.8977968493623</v>
      </c>
      <c r="C74" s="2">
        <f t="shared" si="5"/>
        <v>1139.8939219763304</v>
      </c>
    </row>
    <row r="75" spans="1:3" x14ac:dyDescent="0.2">
      <c r="A75" s="3">
        <f t="shared" si="3"/>
        <v>49.700000000000053</v>
      </c>
      <c r="B75" s="3">
        <f t="shared" si="4"/>
        <v>1440.2688737092044</v>
      </c>
      <c r="C75" s="3">
        <f t="shared" si="5"/>
        <v>1219.6864965146735</v>
      </c>
    </row>
    <row r="76" spans="1:3" x14ac:dyDescent="0.2">
      <c r="A76" s="2" t="e">
        <f t="shared" si="3"/>
        <v>#N/A</v>
      </c>
      <c r="B76" s="2" t="e">
        <f t="shared" si="4"/>
        <v>#N/A</v>
      </c>
      <c r="C76" s="2" t="e">
        <f t="shared" si="5"/>
        <v>#N/A</v>
      </c>
    </row>
    <row r="77" spans="1:3" x14ac:dyDescent="0.2">
      <c r="A77" s="3" t="e">
        <f t="shared" si="3"/>
        <v>#N/A</v>
      </c>
      <c r="B77" s="3" t="e">
        <f t="shared" si="4"/>
        <v>#N/A</v>
      </c>
      <c r="C77" s="3" t="e">
        <f t="shared" si="5"/>
        <v>#N/A</v>
      </c>
    </row>
    <row r="78" spans="1:3" x14ac:dyDescent="0.2">
      <c r="A78" s="2" t="e">
        <f t="shared" si="3"/>
        <v>#N/A</v>
      </c>
      <c r="B78" s="2" t="e">
        <f t="shared" si="4"/>
        <v>#N/A</v>
      </c>
      <c r="C78" s="2" t="e">
        <f t="shared" si="5"/>
        <v>#N/A</v>
      </c>
    </row>
    <row r="79" spans="1:3" x14ac:dyDescent="0.2">
      <c r="A79" s="3" t="e">
        <f t="shared" si="3"/>
        <v>#N/A</v>
      </c>
      <c r="B79" s="3" t="e">
        <f t="shared" si="4"/>
        <v>#N/A</v>
      </c>
      <c r="C79" s="3" t="e">
        <f t="shared" si="5"/>
        <v>#N/A</v>
      </c>
    </row>
    <row r="80" spans="1:3" x14ac:dyDescent="0.2">
      <c r="A80" s="2" t="e">
        <f t="shared" si="3"/>
        <v>#N/A</v>
      </c>
      <c r="B80" s="2" t="e">
        <f t="shared" si="4"/>
        <v>#N/A</v>
      </c>
      <c r="C80" s="2" t="e">
        <f t="shared" si="5"/>
        <v>#N/A</v>
      </c>
    </row>
    <row r="81" spans="1:3" x14ac:dyDescent="0.2">
      <c r="A81" s="3" t="e">
        <f t="shared" si="3"/>
        <v>#N/A</v>
      </c>
      <c r="B81" s="3" t="e">
        <f t="shared" si="4"/>
        <v>#N/A</v>
      </c>
      <c r="C81" s="3" t="e">
        <f t="shared" si="5"/>
        <v>#N/A</v>
      </c>
    </row>
    <row r="82" spans="1:3" x14ac:dyDescent="0.2">
      <c r="A82" s="2" t="e">
        <f t="shared" si="3"/>
        <v>#N/A</v>
      </c>
      <c r="B82" s="2" t="e">
        <f t="shared" si="4"/>
        <v>#N/A</v>
      </c>
      <c r="C82" s="2" t="e">
        <f t="shared" si="5"/>
        <v>#N/A</v>
      </c>
    </row>
    <row r="83" spans="1:3" x14ac:dyDescent="0.2">
      <c r="A83" s="3" t="e">
        <f t="shared" si="3"/>
        <v>#N/A</v>
      </c>
      <c r="B83" s="3" t="e">
        <f t="shared" si="4"/>
        <v>#N/A</v>
      </c>
      <c r="C83" s="3" t="e">
        <f t="shared" si="5"/>
        <v>#N/A</v>
      </c>
    </row>
    <row r="84" spans="1:3" x14ac:dyDescent="0.2">
      <c r="A84" s="2" t="e">
        <f t="shared" si="3"/>
        <v>#N/A</v>
      </c>
      <c r="B84" s="2" t="e">
        <f t="shared" si="4"/>
        <v>#N/A</v>
      </c>
      <c r="C84" s="2" t="e">
        <f t="shared" si="5"/>
        <v>#N/A</v>
      </c>
    </row>
    <row r="85" spans="1:3" x14ac:dyDescent="0.2">
      <c r="A85" s="3" t="e">
        <f t="shared" si="3"/>
        <v>#N/A</v>
      </c>
      <c r="B85" s="3" t="e">
        <f t="shared" si="4"/>
        <v>#N/A</v>
      </c>
      <c r="C85" s="3" t="e">
        <f t="shared" si="5"/>
        <v>#N/A</v>
      </c>
    </row>
    <row r="86" spans="1:3" x14ac:dyDescent="0.2">
      <c r="A86" s="2" t="e">
        <f t="shared" si="3"/>
        <v>#N/A</v>
      </c>
      <c r="B86" s="2" t="e">
        <f t="shared" si="4"/>
        <v>#N/A</v>
      </c>
      <c r="C86" s="2" t="e">
        <f t="shared" si="5"/>
        <v>#N/A</v>
      </c>
    </row>
    <row r="87" spans="1:3" x14ac:dyDescent="0.2">
      <c r="A87" s="3" t="e">
        <f t="shared" si="3"/>
        <v>#N/A</v>
      </c>
      <c r="B87" s="3" t="e">
        <f t="shared" si="4"/>
        <v>#N/A</v>
      </c>
      <c r="C87" s="3" t="e">
        <f t="shared" si="5"/>
        <v>#N/A</v>
      </c>
    </row>
    <row r="88" spans="1:3" x14ac:dyDescent="0.2">
      <c r="A88" s="2" t="e">
        <f t="shared" si="3"/>
        <v>#N/A</v>
      </c>
      <c r="B88" s="2" t="e">
        <f t="shared" si="4"/>
        <v>#N/A</v>
      </c>
      <c r="C88" s="2" t="e">
        <f t="shared" si="5"/>
        <v>#N/A</v>
      </c>
    </row>
    <row r="89" spans="1:3" x14ac:dyDescent="0.2">
      <c r="A89" s="3" t="e">
        <f t="shared" si="3"/>
        <v>#N/A</v>
      </c>
      <c r="B89" s="3" t="e">
        <f t="shared" si="4"/>
        <v>#N/A</v>
      </c>
      <c r="C89" s="3" t="e">
        <f t="shared" si="5"/>
        <v>#N/A</v>
      </c>
    </row>
    <row r="90" spans="1:3" x14ac:dyDescent="0.2">
      <c r="A90" s="2" t="e">
        <f t="shared" si="3"/>
        <v>#N/A</v>
      </c>
      <c r="B90" s="2" t="e">
        <f t="shared" si="4"/>
        <v>#N/A</v>
      </c>
      <c r="C90" s="2" t="e">
        <f t="shared" si="5"/>
        <v>#N/A</v>
      </c>
    </row>
    <row r="91" spans="1:3" x14ac:dyDescent="0.2">
      <c r="A91" s="3" t="e">
        <f t="shared" si="3"/>
        <v>#N/A</v>
      </c>
      <c r="B91" s="3" t="e">
        <f t="shared" si="4"/>
        <v>#N/A</v>
      </c>
      <c r="C91" s="3" t="e">
        <f t="shared" si="5"/>
        <v>#N/A</v>
      </c>
    </row>
    <row r="92" spans="1:3" x14ac:dyDescent="0.2">
      <c r="A92" s="2" t="e">
        <f t="shared" si="3"/>
        <v>#N/A</v>
      </c>
      <c r="B92" s="2" t="e">
        <f t="shared" si="4"/>
        <v>#N/A</v>
      </c>
      <c r="C92" s="2" t="e">
        <f t="shared" si="5"/>
        <v>#N/A</v>
      </c>
    </row>
    <row r="93" spans="1:3" x14ac:dyDescent="0.2">
      <c r="A93" s="3" t="e">
        <f t="shared" si="3"/>
        <v>#N/A</v>
      </c>
      <c r="B93" s="3" t="e">
        <f t="shared" si="4"/>
        <v>#N/A</v>
      </c>
      <c r="C93" s="3" t="e">
        <f t="shared" si="5"/>
        <v>#N/A</v>
      </c>
    </row>
    <row r="94" spans="1:3" x14ac:dyDescent="0.2">
      <c r="A94" s="2" t="e">
        <f t="shared" si="3"/>
        <v>#N/A</v>
      </c>
      <c r="B94" s="2" t="e">
        <f t="shared" si="4"/>
        <v>#N/A</v>
      </c>
      <c r="C94" s="2" t="e">
        <f t="shared" si="5"/>
        <v>#N/A</v>
      </c>
    </row>
    <row r="95" spans="1:3" x14ac:dyDescent="0.2">
      <c r="A95" s="3" t="e">
        <f t="shared" si="3"/>
        <v>#N/A</v>
      </c>
      <c r="B95" s="3" t="e">
        <f t="shared" si="4"/>
        <v>#N/A</v>
      </c>
      <c r="C95" s="3" t="e">
        <f t="shared" si="5"/>
        <v>#N/A</v>
      </c>
    </row>
    <row r="96" spans="1:3" x14ac:dyDescent="0.2">
      <c r="A96" s="2" t="e">
        <f t="shared" si="3"/>
        <v>#N/A</v>
      </c>
      <c r="B96" s="2" t="e">
        <f t="shared" si="4"/>
        <v>#N/A</v>
      </c>
      <c r="C96" s="2" t="e">
        <f t="shared" si="5"/>
        <v>#N/A</v>
      </c>
    </row>
    <row r="97" spans="1:3" x14ac:dyDescent="0.2">
      <c r="A97" s="3" t="e">
        <f t="shared" si="3"/>
        <v>#N/A</v>
      </c>
      <c r="B97" s="3" t="e">
        <f t="shared" si="4"/>
        <v>#N/A</v>
      </c>
      <c r="C97" s="3" t="e">
        <f t="shared" si="5"/>
        <v>#N/A</v>
      </c>
    </row>
    <row r="98" spans="1:3" x14ac:dyDescent="0.2">
      <c r="A98" s="2" t="e">
        <f t="shared" si="3"/>
        <v>#N/A</v>
      </c>
      <c r="B98" s="2" t="e">
        <f t="shared" si="4"/>
        <v>#N/A</v>
      </c>
      <c r="C98" s="2" t="e">
        <f t="shared" si="5"/>
        <v>#N/A</v>
      </c>
    </row>
    <row r="99" spans="1:3" x14ac:dyDescent="0.2">
      <c r="A99" s="3" t="e">
        <f t="shared" si="3"/>
        <v>#N/A</v>
      </c>
      <c r="B99" s="3" t="e">
        <f t="shared" si="4"/>
        <v>#N/A</v>
      </c>
      <c r="C99" s="3" t="e">
        <f t="shared" si="5"/>
        <v>#N/A</v>
      </c>
    </row>
    <row r="100" spans="1:3" x14ac:dyDescent="0.2">
      <c r="A100" s="2" t="e">
        <f t="shared" si="3"/>
        <v>#N/A</v>
      </c>
      <c r="B100" s="2" t="e">
        <f t="shared" si="4"/>
        <v>#N/A</v>
      </c>
      <c r="C100" s="2" t="e">
        <f t="shared" si="5"/>
        <v>#N/A</v>
      </c>
    </row>
    <row r="101" spans="1:3" x14ac:dyDescent="0.2">
      <c r="A101" s="3" t="e">
        <f t="shared" si="3"/>
        <v>#N/A</v>
      </c>
      <c r="B101" s="3" t="e">
        <f t="shared" si="4"/>
        <v>#N/A</v>
      </c>
      <c r="C101" s="3" t="e">
        <f t="shared" si="5"/>
        <v>#N/A</v>
      </c>
    </row>
    <row r="102" spans="1:3" x14ac:dyDescent="0.2">
      <c r="A102" s="2" t="e">
        <f t="shared" si="3"/>
        <v>#N/A</v>
      </c>
      <c r="B102" s="2" t="e">
        <f t="shared" si="4"/>
        <v>#N/A</v>
      </c>
      <c r="C102" s="2" t="e">
        <f t="shared" si="5"/>
        <v>#N/A</v>
      </c>
    </row>
    <row r="103" spans="1:3" x14ac:dyDescent="0.2">
      <c r="A103" s="3" t="e">
        <f t="shared" si="3"/>
        <v>#N/A</v>
      </c>
      <c r="B103" s="3" t="e">
        <f t="shared" si="4"/>
        <v>#N/A</v>
      </c>
      <c r="C103" s="3" t="e">
        <f t="shared" si="5"/>
        <v>#N/A</v>
      </c>
    </row>
    <row r="104" spans="1:3" x14ac:dyDescent="0.2">
      <c r="A104" s="2" t="e">
        <f t="shared" si="3"/>
        <v>#N/A</v>
      </c>
      <c r="B104" s="2" t="e">
        <f t="shared" si="4"/>
        <v>#N/A</v>
      </c>
      <c r="C104" s="2" t="e">
        <f t="shared" si="5"/>
        <v>#N/A</v>
      </c>
    </row>
    <row r="105" spans="1:3" x14ac:dyDescent="0.2">
      <c r="A105" s="3" t="e">
        <f t="shared" si="3"/>
        <v>#N/A</v>
      </c>
      <c r="B105" s="3" t="e">
        <f t="shared" si="4"/>
        <v>#N/A</v>
      </c>
      <c r="C105" s="3" t="e">
        <f t="shared" si="5"/>
        <v>#N/A</v>
      </c>
    </row>
    <row r="106" spans="1:3" x14ac:dyDescent="0.2">
      <c r="A106" s="2" t="e">
        <f t="shared" si="3"/>
        <v>#N/A</v>
      </c>
      <c r="B106" s="2" t="e">
        <f t="shared" si="4"/>
        <v>#N/A</v>
      </c>
      <c r="C106" s="2" t="e">
        <f t="shared" si="5"/>
        <v>#N/A</v>
      </c>
    </row>
    <row r="107" spans="1:3" x14ac:dyDescent="0.2">
      <c r="A107" s="3" t="e">
        <f t="shared" si="3"/>
        <v>#N/A</v>
      </c>
      <c r="B107" s="3" t="e">
        <f t="shared" si="4"/>
        <v>#N/A</v>
      </c>
      <c r="C107" s="3" t="e">
        <f t="shared" si="5"/>
        <v>#N/A</v>
      </c>
    </row>
    <row r="108" spans="1:3" x14ac:dyDescent="0.2">
      <c r="A108" s="2" t="e">
        <f t="shared" si="3"/>
        <v>#N/A</v>
      </c>
      <c r="B108" s="2" t="e">
        <f t="shared" si="4"/>
        <v>#N/A</v>
      </c>
      <c r="C108" s="2" t="e">
        <f t="shared" si="5"/>
        <v>#N/A</v>
      </c>
    </row>
    <row r="109" spans="1:3" x14ac:dyDescent="0.2">
      <c r="A109" s="3" t="e">
        <f t="shared" si="3"/>
        <v>#N/A</v>
      </c>
      <c r="B109" s="3" t="e">
        <f t="shared" si="4"/>
        <v>#N/A</v>
      </c>
      <c r="C109" s="3" t="e">
        <f t="shared" si="5"/>
        <v>#N/A</v>
      </c>
    </row>
    <row r="110" spans="1:3" x14ac:dyDescent="0.2">
      <c r="A110" s="2" t="e">
        <f t="shared" si="3"/>
        <v>#N/A</v>
      </c>
      <c r="B110" s="2" t="e">
        <f t="shared" si="4"/>
        <v>#N/A</v>
      </c>
      <c r="C110" s="2" t="e">
        <f t="shared" si="5"/>
        <v>#N/A</v>
      </c>
    </row>
    <row r="111" spans="1:3" x14ac:dyDescent="0.2">
      <c r="A111" s="3" t="e">
        <f t="shared" si="3"/>
        <v>#N/A</v>
      </c>
      <c r="B111" s="3" t="e">
        <f t="shared" si="4"/>
        <v>#N/A</v>
      </c>
      <c r="C111" s="3" t="e">
        <f t="shared" si="5"/>
        <v>#N/A</v>
      </c>
    </row>
    <row r="112" spans="1:3" x14ac:dyDescent="0.2">
      <c r="A112" s="2" t="e">
        <f t="shared" si="3"/>
        <v>#N/A</v>
      </c>
      <c r="B112" s="2" t="e">
        <f t="shared" si="4"/>
        <v>#N/A</v>
      </c>
      <c r="C112" s="2" t="e">
        <f t="shared" si="5"/>
        <v>#N/A</v>
      </c>
    </row>
    <row r="113" spans="1:3" x14ac:dyDescent="0.2">
      <c r="A113" s="3" t="e">
        <f t="shared" si="3"/>
        <v>#N/A</v>
      </c>
      <c r="B113" s="3" t="e">
        <f t="shared" si="4"/>
        <v>#N/A</v>
      </c>
      <c r="C113" s="3" t="e">
        <f t="shared" si="5"/>
        <v>#N/A</v>
      </c>
    </row>
    <row r="114" spans="1:3" x14ac:dyDescent="0.2">
      <c r="A114" s="2" t="e">
        <f t="shared" si="3"/>
        <v>#N/A</v>
      </c>
      <c r="B114" s="2" t="e">
        <f t="shared" si="4"/>
        <v>#N/A</v>
      </c>
      <c r="C114" s="2" t="e">
        <f t="shared" si="5"/>
        <v>#N/A</v>
      </c>
    </row>
    <row r="115" spans="1:3" x14ac:dyDescent="0.2">
      <c r="A115" s="3" t="e">
        <f t="shared" si="3"/>
        <v>#N/A</v>
      </c>
      <c r="B115" s="3" t="e">
        <f t="shared" si="4"/>
        <v>#N/A</v>
      </c>
      <c r="C115" s="3" t="e">
        <f t="shared" si="5"/>
        <v>#N/A</v>
      </c>
    </row>
    <row r="116" spans="1:3" x14ac:dyDescent="0.2">
      <c r="A116" s="2" t="e">
        <f t="shared" si="3"/>
        <v>#N/A</v>
      </c>
      <c r="B116" s="2" t="e">
        <f t="shared" si="4"/>
        <v>#N/A</v>
      </c>
      <c r="C116" s="2" t="e">
        <f t="shared" si="5"/>
        <v>#N/A</v>
      </c>
    </row>
    <row r="117" spans="1:3" x14ac:dyDescent="0.2">
      <c r="A117" s="3" t="e">
        <f t="shared" si="3"/>
        <v>#N/A</v>
      </c>
      <c r="B117" s="3" t="e">
        <f t="shared" si="4"/>
        <v>#N/A</v>
      </c>
      <c r="C117" s="3" t="e">
        <f t="shared" si="5"/>
        <v>#N/A</v>
      </c>
    </row>
    <row r="118" spans="1:3" x14ac:dyDescent="0.2">
      <c r="A118" s="2" t="e">
        <f t="shared" si="3"/>
        <v>#N/A</v>
      </c>
      <c r="B118" s="2" t="e">
        <f t="shared" si="4"/>
        <v>#N/A</v>
      </c>
      <c r="C118" s="2" t="e">
        <f t="shared" si="5"/>
        <v>#N/A</v>
      </c>
    </row>
    <row r="119" spans="1:3" x14ac:dyDescent="0.2">
      <c r="A119" s="3" t="e">
        <f t="shared" si="3"/>
        <v>#N/A</v>
      </c>
      <c r="B119" s="3" t="e">
        <f t="shared" si="4"/>
        <v>#N/A</v>
      </c>
      <c r="C119" s="3" t="e">
        <f t="shared" si="5"/>
        <v>#N/A</v>
      </c>
    </row>
    <row r="120" spans="1:3" x14ac:dyDescent="0.2">
      <c r="A120" s="2" t="e">
        <f t="shared" si="3"/>
        <v>#N/A</v>
      </c>
      <c r="B120" s="2" t="e">
        <f t="shared" si="4"/>
        <v>#N/A</v>
      </c>
      <c r="C120" s="2" t="e">
        <f t="shared" si="5"/>
        <v>#N/A</v>
      </c>
    </row>
    <row r="121" spans="1:3" x14ac:dyDescent="0.2">
      <c r="A121" s="3" t="e">
        <f t="shared" si="3"/>
        <v>#N/A</v>
      </c>
      <c r="B121" s="3" t="e">
        <f t="shared" si="4"/>
        <v>#N/A</v>
      </c>
      <c r="C121" s="3" t="e">
        <f t="shared" si="5"/>
        <v>#N/A</v>
      </c>
    </row>
    <row r="122" spans="1:3" x14ac:dyDescent="0.2">
      <c r="A122" s="2" t="e">
        <f t="shared" si="3"/>
        <v>#N/A</v>
      </c>
      <c r="B122" s="2" t="e">
        <f t="shared" si="4"/>
        <v>#N/A</v>
      </c>
      <c r="C122" s="2" t="e">
        <f t="shared" si="5"/>
        <v>#N/A</v>
      </c>
    </row>
    <row r="123" spans="1:3" x14ac:dyDescent="0.2">
      <c r="A123" s="3" t="e">
        <f t="shared" si="3"/>
        <v>#N/A</v>
      </c>
      <c r="B123" s="3" t="e">
        <f t="shared" si="4"/>
        <v>#N/A</v>
      </c>
      <c r="C123" s="3" t="e">
        <f t="shared" si="5"/>
        <v>#N/A</v>
      </c>
    </row>
    <row r="124" spans="1:3" x14ac:dyDescent="0.2">
      <c r="A124" s="2" t="e">
        <f t="shared" si="3"/>
        <v>#N/A</v>
      </c>
      <c r="B124" s="2" t="e">
        <f t="shared" si="4"/>
        <v>#N/A</v>
      </c>
      <c r="C124" s="2" t="e">
        <f t="shared" si="5"/>
        <v>#N/A</v>
      </c>
    </row>
    <row r="125" spans="1:3" x14ac:dyDescent="0.2">
      <c r="A125" s="3" t="e">
        <f t="shared" si="3"/>
        <v>#N/A</v>
      </c>
      <c r="B125" s="3" t="e">
        <f t="shared" si="4"/>
        <v>#N/A</v>
      </c>
      <c r="C125" s="3" t="e">
        <f t="shared" si="5"/>
        <v>#N/A</v>
      </c>
    </row>
    <row r="126" spans="1:3" x14ac:dyDescent="0.2">
      <c r="A126" s="2" t="e">
        <f t="shared" si="3"/>
        <v>#N/A</v>
      </c>
      <c r="B126" s="2" t="e">
        <f t="shared" si="4"/>
        <v>#N/A</v>
      </c>
      <c r="C126" s="2" t="e">
        <f t="shared" si="5"/>
        <v>#N/A</v>
      </c>
    </row>
    <row r="127" spans="1:3" x14ac:dyDescent="0.2">
      <c r="A127" s="3" t="e">
        <f t="shared" si="3"/>
        <v>#N/A</v>
      </c>
      <c r="B127" s="3" t="e">
        <f t="shared" si="4"/>
        <v>#N/A</v>
      </c>
      <c r="C127" s="3" t="e">
        <f t="shared" si="5"/>
        <v>#N/A</v>
      </c>
    </row>
    <row r="128" spans="1:3" x14ac:dyDescent="0.2">
      <c r="A128" s="2" t="e">
        <f t="shared" si="3"/>
        <v>#N/A</v>
      </c>
      <c r="B128" s="2" t="e">
        <f t="shared" si="4"/>
        <v>#N/A</v>
      </c>
      <c r="C128" s="2" t="e">
        <f t="shared" si="5"/>
        <v>#N/A</v>
      </c>
    </row>
    <row r="129" spans="1:3" x14ac:dyDescent="0.2">
      <c r="A129" s="3" t="e">
        <f t="shared" si="3"/>
        <v>#N/A</v>
      </c>
      <c r="B129" s="3" t="e">
        <f t="shared" si="4"/>
        <v>#N/A</v>
      </c>
      <c r="C129" s="3" t="e">
        <f t="shared" si="5"/>
        <v>#N/A</v>
      </c>
    </row>
    <row r="130" spans="1:3" x14ac:dyDescent="0.2">
      <c r="A130" s="2" t="e">
        <f t="shared" si="3"/>
        <v>#N/A</v>
      </c>
      <c r="B130" s="2" t="e">
        <f t="shared" si="4"/>
        <v>#N/A</v>
      </c>
      <c r="C130" s="2" t="e">
        <f t="shared" si="5"/>
        <v>#N/A</v>
      </c>
    </row>
    <row r="131" spans="1:3" x14ac:dyDescent="0.2">
      <c r="A131" s="3" t="e">
        <f t="shared" si="3"/>
        <v>#N/A</v>
      </c>
      <c r="B131" s="3" t="e">
        <f t="shared" si="4"/>
        <v>#N/A</v>
      </c>
      <c r="C131" s="3" t="e">
        <f t="shared" si="5"/>
        <v>#N/A</v>
      </c>
    </row>
    <row r="132" spans="1:3" x14ac:dyDescent="0.2">
      <c r="A132" s="2" t="e">
        <f t="shared" si="3"/>
        <v>#N/A</v>
      </c>
      <c r="B132" s="2" t="e">
        <f t="shared" si="4"/>
        <v>#N/A</v>
      </c>
      <c r="C132" s="2" t="e">
        <f t="shared" si="5"/>
        <v>#N/A</v>
      </c>
    </row>
    <row r="133" spans="1:3" x14ac:dyDescent="0.2">
      <c r="A133" s="3" t="e">
        <f t="shared" ref="A133:A196" si="6">IF(ISNA(A132), NA(), IF(A132 + $H$6 &lt;= $H$7 + 0.000000001, A132 + $H$6, NA()))</f>
        <v>#N/A</v>
      </c>
      <c r="B133" s="3" t="e">
        <f t="shared" ref="B133:B196" si="7">IF(ISNA(A133), NA(), $H$4 * EXP($H$5 * A133))</f>
        <v>#N/A</v>
      </c>
      <c r="C133" s="3" t="e">
        <f t="shared" ref="C133:C196" si="8">IF(ISNA(A133), NA(), C132 + $H$5 * C132 * $H$6)</f>
        <v>#N/A</v>
      </c>
    </row>
    <row r="134" spans="1:3" x14ac:dyDescent="0.2">
      <c r="A134" s="2" t="e">
        <f t="shared" si="6"/>
        <v>#N/A</v>
      </c>
      <c r="B134" s="2" t="e">
        <f t="shared" si="7"/>
        <v>#N/A</v>
      </c>
      <c r="C134" s="2" t="e">
        <f t="shared" si="8"/>
        <v>#N/A</v>
      </c>
    </row>
    <row r="135" spans="1:3" x14ac:dyDescent="0.2">
      <c r="A135" s="3" t="e">
        <f t="shared" si="6"/>
        <v>#N/A</v>
      </c>
      <c r="B135" s="3" t="e">
        <f t="shared" si="7"/>
        <v>#N/A</v>
      </c>
      <c r="C135" s="3" t="e">
        <f t="shared" si="8"/>
        <v>#N/A</v>
      </c>
    </row>
    <row r="136" spans="1:3" x14ac:dyDescent="0.2">
      <c r="A136" s="2" t="e">
        <f t="shared" si="6"/>
        <v>#N/A</v>
      </c>
      <c r="B136" s="2" t="e">
        <f t="shared" si="7"/>
        <v>#N/A</v>
      </c>
      <c r="C136" s="2" t="e">
        <f t="shared" si="8"/>
        <v>#N/A</v>
      </c>
    </row>
    <row r="137" spans="1:3" x14ac:dyDescent="0.2">
      <c r="A137" s="3" t="e">
        <f t="shared" si="6"/>
        <v>#N/A</v>
      </c>
      <c r="B137" s="3" t="e">
        <f t="shared" si="7"/>
        <v>#N/A</v>
      </c>
      <c r="C137" s="3" t="e">
        <f t="shared" si="8"/>
        <v>#N/A</v>
      </c>
    </row>
    <row r="138" spans="1:3" x14ac:dyDescent="0.2">
      <c r="A138" s="2" t="e">
        <f t="shared" si="6"/>
        <v>#N/A</v>
      </c>
      <c r="B138" s="2" t="e">
        <f t="shared" si="7"/>
        <v>#N/A</v>
      </c>
      <c r="C138" s="2" t="e">
        <f t="shared" si="8"/>
        <v>#N/A</v>
      </c>
    </row>
    <row r="139" spans="1:3" x14ac:dyDescent="0.2">
      <c r="A139" s="3" t="e">
        <f t="shared" si="6"/>
        <v>#N/A</v>
      </c>
      <c r="B139" s="3" t="e">
        <f t="shared" si="7"/>
        <v>#N/A</v>
      </c>
      <c r="C139" s="3" t="e">
        <f t="shared" si="8"/>
        <v>#N/A</v>
      </c>
    </row>
    <row r="140" spans="1:3" x14ac:dyDescent="0.2">
      <c r="A140" s="2" t="e">
        <f t="shared" si="6"/>
        <v>#N/A</v>
      </c>
      <c r="B140" s="2" t="e">
        <f t="shared" si="7"/>
        <v>#N/A</v>
      </c>
      <c r="C140" s="2" t="e">
        <f t="shared" si="8"/>
        <v>#N/A</v>
      </c>
    </row>
    <row r="141" spans="1:3" x14ac:dyDescent="0.2">
      <c r="A141" s="3" t="e">
        <f t="shared" si="6"/>
        <v>#N/A</v>
      </c>
      <c r="B141" s="3" t="e">
        <f t="shared" si="7"/>
        <v>#N/A</v>
      </c>
      <c r="C141" s="3" t="e">
        <f t="shared" si="8"/>
        <v>#N/A</v>
      </c>
    </row>
    <row r="142" spans="1:3" x14ac:dyDescent="0.2">
      <c r="A142" s="2" t="e">
        <f t="shared" si="6"/>
        <v>#N/A</v>
      </c>
      <c r="B142" s="2" t="e">
        <f t="shared" si="7"/>
        <v>#N/A</v>
      </c>
      <c r="C142" s="2" t="e">
        <f t="shared" si="8"/>
        <v>#N/A</v>
      </c>
    </row>
    <row r="143" spans="1:3" x14ac:dyDescent="0.2">
      <c r="A143" s="3" t="e">
        <f t="shared" si="6"/>
        <v>#N/A</v>
      </c>
      <c r="B143" s="3" t="e">
        <f t="shared" si="7"/>
        <v>#N/A</v>
      </c>
      <c r="C143" s="3" t="e">
        <f t="shared" si="8"/>
        <v>#N/A</v>
      </c>
    </row>
    <row r="144" spans="1:3" x14ac:dyDescent="0.2">
      <c r="A144" s="2" t="e">
        <f t="shared" si="6"/>
        <v>#N/A</v>
      </c>
      <c r="B144" s="2" t="e">
        <f t="shared" si="7"/>
        <v>#N/A</v>
      </c>
      <c r="C144" s="2" t="e">
        <f t="shared" si="8"/>
        <v>#N/A</v>
      </c>
    </row>
    <row r="145" spans="1:3" x14ac:dyDescent="0.2">
      <c r="A145" s="3" t="e">
        <f t="shared" si="6"/>
        <v>#N/A</v>
      </c>
      <c r="B145" s="3" t="e">
        <f t="shared" si="7"/>
        <v>#N/A</v>
      </c>
      <c r="C145" s="3" t="e">
        <f t="shared" si="8"/>
        <v>#N/A</v>
      </c>
    </row>
    <row r="146" spans="1:3" x14ac:dyDescent="0.2">
      <c r="A146" s="2" t="e">
        <f t="shared" si="6"/>
        <v>#N/A</v>
      </c>
      <c r="B146" s="2" t="e">
        <f t="shared" si="7"/>
        <v>#N/A</v>
      </c>
      <c r="C146" s="2" t="e">
        <f t="shared" si="8"/>
        <v>#N/A</v>
      </c>
    </row>
    <row r="147" spans="1:3" x14ac:dyDescent="0.2">
      <c r="A147" s="3" t="e">
        <f t="shared" si="6"/>
        <v>#N/A</v>
      </c>
      <c r="B147" s="3" t="e">
        <f t="shared" si="7"/>
        <v>#N/A</v>
      </c>
      <c r="C147" s="3" t="e">
        <f t="shared" si="8"/>
        <v>#N/A</v>
      </c>
    </row>
    <row r="148" spans="1:3" x14ac:dyDescent="0.2">
      <c r="A148" s="2" t="e">
        <f t="shared" si="6"/>
        <v>#N/A</v>
      </c>
      <c r="B148" s="2" t="e">
        <f t="shared" si="7"/>
        <v>#N/A</v>
      </c>
      <c r="C148" s="2" t="e">
        <f t="shared" si="8"/>
        <v>#N/A</v>
      </c>
    </row>
    <row r="149" spans="1:3" x14ac:dyDescent="0.2">
      <c r="A149" s="3" t="e">
        <f t="shared" si="6"/>
        <v>#N/A</v>
      </c>
      <c r="B149" s="3" t="e">
        <f t="shared" si="7"/>
        <v>#N/A</v>
      </c>
      <c r="C149" s="3" t="e">
        <f t="shared" si="8"/>
        <v>#N/A</v>
      </c>
    </row>
    <row r="150" spans="1:3" x14ac:dyDescent="0.2">
      <c r="A150" s="2" t="e">
        <f t="shared" si="6"/>
        <v>#N/A</v>
      </c>
      <c r="B150" s="2" t="e">
        <f t="shared" si="7"/>
        <v>#N/A</v>
      </c>
      <c r="C150" s="2" t="e">
        <f t="shared" si="8"/>
        <v>#N/A</v>
      </c>
    </row>
    <row r="151" spans="1:3" x14ac:dyDescent="0.2">
      <c r="A151" s="3" t="e">
        <f t="shared" si="6"/>
        <v>#N/A</v>
      </c>
      <c r="B151" s="3" t="e">
        <f t="shared" si="7"/>
        <v>#N/A</v>
      </c>
      <c r="C151" s="3" t="e">
        <f t="shared" si="8"/>
        <v>#N/A</v>
      </c>
    </row>
    <row r="152" spans="1:3" x14ac:dyDescent="0.2">
      <c r="A152" s="2" t="e">
        <f t="shared" si="6"/>
        <v>#N/A</v>
      </c>
      <c r="B152" s="2" t="e">
        <f t="shared" si="7"/>
        <v>#N/A</v>
      </c>
      <c r="C152" s="2" t="e">
        <f t="shared" si="8"/>
        <v>#N/A</v>
      </c>
    </row>
    <row r="153" spans="1:3" x14ac:dyDescent="0.2">
      <c r="A153" s="3" t="e">
        <f t="shared" si="6"/>
        <v>#N/A</v>
      </c>
      <c r="B153" s="3" t="e">
        <f t="shared" si="7"/>
        <v>#N/A</v>
      </c>
      <c r="C153" s="3" t="e">
        <f t="shared" si="8"/>
        <v>#N/A</v>
      </c>
    </row>
    <row r="154" spans="1:3" x14ac:dyDescent="0.2">
      <c r="A154" s="2" t="e">
        <f t="shared" si="6"/>
        <v>#N/A</v>
      </c>
      <c r="B154" s="2" t="e">
        <f t="shared" si="7"/>
        <v>#N/A</v>
      </c>
      <c r="C154" s="2" t="e">
        <f t="shared" si="8"/>
        <v>#N/A</v>
      </c>
    </row>
    <row r="155" spans="1:3" x14ac:dyDescent="0.2">
      <c r="A155" s="3" t="e">
        <f t="shared" si="6"/>
        <v>#N/A</v>
      </c>
      <c r="B155" s="3" t="e">
        <f t="shared" si="7"/>
        <v>#N/A</v>
      </c>
      <c r="C155" s="3" t="e">
        <f t="shared" si="8"/>
        <v>#N/A</v>
      </c>
    </row>
    <row r="156" spans="1:3" x14ac:dyDescent="0.2">
      <c r="A156" s="2" t="e">
        <f t="shared" si="6"/>
        <v>#N/A</v>
      </c>
      <c r="B156" s="2" t="e">
        <f t="shared" si="7"/>
        <v>#N/A</v>
      </c>
      <c r="C156" s="2" t="e">
        <f t="shared" si="8"/>
        <v>#N/A</v>
      </c>
    </row>
    <row r="157" spans="1:3" x14ac:dyDescent="0.2">
      <c r="A157" s="3" t="e">
        <f t="shared" si="6"/>
        <v>#N/A</v>
      </c>
      <c r="B157" s="3" t="e">
        <f t="shared" si="7"/>
        <v>#N/A</v>
      </c>
      <c r="C157" s="3" t="e">
        <f t="shared" si="8"/>
        <v>#N/A</v>
      </c>
    </row>
    <row r="158" spans="1:3" x14ac:dyDescent="0.2">
      <c r="A158" s="2" t="e">
        <f t="shared" si="6"/>
        <v>#N/A</v>
      </c>
      <c r="B158" s="2" t="e">
        <f t="shared" si="7"/>
        <v>#N/A</v>
      </c>
      <c r="C158" s="2" t="e">
        <f t="shared" si="8"/>
        <v>#N/A</v>
      </c>
    </row>
    <row r="159" spans="1:3" x14ac:dyDescent="0.2">
      <c r="A159" s="3" t="e">
        <f t="shared" si="6"/>
        <v>#N/A</v>
      </c>
      <c r="B159" s="3" t="e">
        <f t="shared" si="7"/>
        <v>#N/A</v>
      </c>
      <c r="C159" s="3" t="e">
        <f t="shared" si="8"/>
        <v>#N/A</v>
      </c>
    </row>
    <row r="160" spans="1:3" x14ac:dyDescent="0.2">
      <c r="A160" s="2" t="e">
        <f t="shared" si="6"/>
        <v>#N/A</v>
      </c>
      <c r="B160" s="2" t="e">
        <f t="shared" si="7"/>
        <v>#N/A</v>
      </c>
      <c r="C160" s="2" t="e">
        <f t="shared" si="8"/>
        <v>#N/A</v>
      </c>
    </row>
    <row r="161" spans="1:3" x14ac:dyDescent="0.2">
      <c r="A161" s="3" t="e">
        <f t="shared" si="6"/>
        <v>#N/A</v>
      </c>
      <c r="B161" s="3" t="e">
        <f t="shared" si="7"/>
        <v>#N/A</v>
      </c>
      <c r="C161" s="3" t="e">
        <f t="shared" si="8"/>
        <v>#N/A</v>
      </c>
    </row>
    <row r="162" spans="1:3" x14ac:dyDescent="0.2">
      <c r="A162" s="2" t="e">
        <f t="shared" si="6"/>
        <v>#N/A</v>
      </c>
      <c r="B162" s="2" t="e">
        <f t="shared" si="7"/>
        <v>#N/A</v>
      </c>
      <c r="C162" s="2" t="e">
        <f t="shared" si="8"/>
        <v>#N/A</v>
      </c>
    </row>
    <row r="163" spans="1:3" x14ac:dyDescent="0.2">
      <c r="A163" s="3" t="e">
        <f t="shared" si="6"/>
        <v>#N/A</v>
      </c>
      <c r="B163" s="3" t="e">
        <f t="shared" si="7"/>
        <v>#N/A</v>
      </c>
      <c r="C163" s="3" t="e">
        <f t="shared" si="8"/>
        <v>#N/A</v>
      </c>
    </row>
    <row r="164" spans="1:3" x14ac:dyDescent="0.2">
      <c r="A164" s="2" t="e">
        <f t="shared" si="6"/>
        <v>#N/A</v>
      </c>
      <c r="B164" s="2" t="e">
        <f t="shared" si="7"/>
        <v>#N/A</v>
      </c>
      <c r="C164" s="2" t="e">
        <f t="shared" si="8"/>
        <v>#N/A</v>
      </c>
    </row>
    <row r="165" spans="1:3" x14ac:dyDescent="0.2">
      <c r="A165" s="3" t="e">
        <f t="shared" si="6"/>
        <v>#N/A</v>
      </c>
      <c r="B165" s="3" t="e">
        <f t="shared" si="7"/>
        <v>#N/A</v>
      </c>
      <c r="C165" s="3" t="e">
        <f t="shared" si="8"/>
        <v>#N/A</v>
      </c>
    </row>
    <row r="166" spans="1:3" x14ac:dyDescent="0.2">
      <c r="A166" s="2" t="e">
        <f t="shared" si="6"/>
        <v>#N/A</v>
      </c>
      <c r="B166" s="2" t="e">
        <f t="shared" si="7"/>
        <v>#N/A</v>
      </c>
      <c r="C166" s="2" t="e">
        <f t="shared" si="8"/>
        <v>#N/A</v>
      </c>
    </row>
    <row r="167" spans="1:3" x14ac:dyDescent="0.2">
      <c r="A167" s="3" t="e">
        <f t="shared" si="6"/>
        <v>#N/A</v>
      </c>
      <c r="B167" s="3" t="e">
        <f t="shared" si="7"/>
        <v>#N/A</v>
      </c>
      <c r="C167" s="3" t="e">
        <f t="shared" si="8"/>
        <v>#N/A</v>
      </c>
    </row>
    <row r="168" spans="1:3" x14ac:dyDescent="0.2">
      <c r="A168" s="2" t="e">
        <f t="shared" si="6"/>
        <v>#N/A</v>
      </c>
      <c r="B168" s="2" t="e">
        <f t="shared" si="7"/>
        <v>#N/A</v>
      </c>
      <c r="C168" s="2" t="e">
        <f t="shared" si="8"/>
        <v>#N/A</v>
      </c>
    </row>
    <row r="169" spans="1:3" x14ac:dyDescent="0.2">
      <c r="A169" s="3" t="e">
        <f t="shared" si="6"/>
        <v>#N/A</v>
      </c>
      <c r="B169" s="3" t="e">
        <f t="shared" si="7"/>
        <v>#N/A</v>
      </c>
      <c r="C169" s="3" t="e">
        <f t="shared" si="8"/>
        <v>#N/A</v>
      </c>
    </row>
    <row r="170" spans="1:3" x14ac:dyDescent="0.2">
      <c r="A170" s="2" t="e">
        <f t="shared" si="6"/>
        <v>#N/A</v>
      </c>
      <c r="B170" s="2" t="e">
        <f t="shared" si="7"/>
        <v>#N/A</v>
      </c>
      <c r="C170" s="2" t="e">
        <f t="shared" si="8"/>
        <v>#N/A</v>
      </c>
    </row>
    <row r="171" spans="1:3" x14ac:dyDescent="0.2">
      <c r="A171" s="3" t="e">
        <f t="shared" si="6"/>
        <v>#N/A</v>
      </c>
      <c r="B171" s="3" t="e">
        <f t="shared" si="7"/>
        <v>#N/A</v>
      </c>
      <c r="C171" s="3" t="e">
        <f t="shared" si="8"/>
        <v>#N/A</v>
      </c>
    </row>
    <row r="172" spans="1:3" x14ac:dyDescent="0.2">
      <c r="A172" s="2" t="e">
        <f t="shared" si="6"/>
        <v>#N/A</v>
      </c>
      <c r="B172" s="2" t="e">
        <f t="shared" si="7"/>
        <v>#N/A</v>
      </c>
      <c r="C172" s="2" t="e">
        <f t="shared" si="8"/>
        <v>#N/A</v>
      </c>
    </row>
    <row r="173" spans="1:3" x14ac:dyDescent="0.2">
      <c r="A173" s="3" t="e">
        <f t="shared" si="6"/>
        <v>#N/A</v>
      </c>
      <c r="B173" s="3" t="e">
        <f t="shared" si="7"/>
        <v>#N/A</v>
      </c>
      <c r="C173" s="3" t="e">
        <f t="shared" si="8"/>
        <v>#N/A</v>
      </c>
    </row>
    <row r="174" spans="1:3" x14ac:dyDescent="0.2">
      <c r="A174" s="2" t="e">
        <f t="shared" si="6"/>
        <v>#N/A</v>
      </c>
      <c r="B174" s="2" t="e">
        <f t="shared" si="7"/>
        <v>#N/A</v>
      </c>
      <c r="C174" s="2" t="e">
        <f t="shared" si="8"/>
        <v>#N/A</v>
      </c>
    </row>
    <row r="175" spans="1:3" x14ac:dyDescent="0.2">
      <c r="A175" s="3" t="e">
        <f t="shared" si="6"/>
        <v>#N/A</v>
      </c>
      <c r="B175" s="3" t="e">
        <f t="shared" si="7"/>
        <v>#N/A</v>
      </c>
      <c r="C175" s="3" t="e">
        <f t="shared" si="8"/>
        <v>#N/A</v>
      </c>
    </row>
    <row r="176" spans="1:3" x14ac:dyDescent="0.2">
      <c r="A176" s="2" t="e">
        <f t="shared" si="6"/>
        <v>#N/A</v>
      </c>
      <c r="B176" s="2" t="e">
        <f t="shared" si="7"/>
        <v>#N/A</v>
      </c>
      <c r="C176" s="2" t="e">
        <f t="shared" si="8"/>
        <v>#N/A</v>
      </c>
    </row>
    <row r="177" spans="1:3" x14ac:dyDescent="0.2">
      <c r="A177" s="3" t="e">
        <f t="shared" si="6"/>
        <v>#N/A</v>
      </c>
      <c r="B177" s="3" t="e">
        <f t="shared" si="7"/>
        <v>#N/A</v>
      </c>
      <c r="C177" s="3" t="e">
        <f t="shared" si="8"/>
        <v>#N/A</v>
      </c>
    </row>
    <row r="178" spans="1:3" x14ac:dyDescent="0.2">
      <c r="A178" s="2" t="e">
        <f t="shared" si="6"/>
        <v>#N/A</v>
      </c>
      <c r="B178" s="2" t="e">
        <f t="shared" si="7"/>
        <v>#N/A</v>
      </c>
      <c r="C178" s="2" t="e">
        <f t="shared" si="8"/>
        <v>#N/A</v>
      </c>
    </row>
    <row r="179" spans="1:3" x14ac:dyDescent="0.2">
      <c r="A179" s="3" t="e">
        <f t="shared" si="6"/>
        <v>#N/A</v>
      </c>
      <c r="B179" s="3" t="e">
        <f t="shared" si="7"/>
        <v>#N/A</v>
      </c>
      <c r="C179" s="3" t="e">
        <f t="shared" si="8"/>
        <v>#N/A</v>
      </c>
    </row>
    <row r="180" spans="1:3" x14ac:dyDescent="0.2">
      <c r="A180" s="2" t="e">
        <f t="shared" si="6"/>
        <v>#N/A</v>
      </c>
      <c r="B180" s="2" t="e">
        <f t="shared" si="7"/>
        <v>#N/A</v>
      </c>
      <c r="C180" s="2" t="e">
        <f t="shared" si="8"/>
        <v>#N/A</v>
      </c>
    </row>
    <row r="181" spans="1:3" x14ac:dyDescent="0.2">
      <c r="A181" s="3" t="e">
        <f t="shared" si="6"/>
        <v>#N/A</v>
      </c>
      <c r="B181" s="3" t="e">
        <f t="shared" si="7"/>
        <v>#N/A</v>
      </c>
      <c r="C181" s="3" t="e">
        <f t="shared" si="8"/>
        <v>#N/A</v>
      </c>
    </row>
    <row r="182" spans="1:3" x14ac:dyDescent="0.2">
      <c r="A182" s="2" t="e">
        <f t="shared" si="6"/>
        <v>#N/A</v>
      </c>
      <c r="B182" s="2" t="e">
        <f t="shared" si="7"/>
        <v>#N/A</v>
      </c>
      <c r="C182" s="2" t="e">
        <f t="shared" si="8"/>
        <v>#N/A</v>
      </c>
    </row>
    <row r="183" spans="1:3" x14ac:dyDescent="0.2">
      <c r="A183" s="3" t="e">
        <f t="shared" si="6"/>
        <v>#N/A</v>
      </c>
      <c r="B183" s="3" t="e">
        <f t="shared" si="7"/>
        <v>#N/A</v>
      </c>
      <c r="C183" s="3" t="e">
        <f t="shared" si="8"/>
        <v>#N/A</v>
      </c>
    </row>
    <row r="184" spans="1:3" x14ac:dyDescent="0.2">
      <c r="A184" s="2" t="e">
        <f t="shared" si="6"/>
        <v>#N/A</v>
      </c>
      <c r="B184" s="2" t="e">
        <f t="shared" si="7"/>
        <v>#N/A</v>
      </c>
      <c r="C184" s="2" t="e">
        <f t="shared" si="8"/>
        <v>#N/A</v>
      </c>
    </row>
    <row r="185" spans="1:3" x14ac:dyDescent="0.2">
      <c r="A185" s="3" t="e">
        <f t="shared" si="6"/>
        <v>#N/A</v>
      </c>
      <c r="B185" s="3" t="e">
        <f t="shared" si="7"/>
        <v>#N/A</v>
      </c>
      <c r="C185" s="3" t="e">
        <f t="shared" si="8"/>
        <v>#N/A</v>
      </c>
    </row>
    <row r="186" spans="1:3" x14ac:dyDescent="0.2">
      <c r="A186" s="2" t="e">
        <f t="shared" si="6"/>
        <v>#N/A</v>
      </c>
      <c r="B186" s="2" t="e">
        <f t="shared" si="7"/>
        <v>#N/A</v>
      </c>
      <c r="C186" s="2" t="e">
        <f t="shared" si="8"/>
        <v>#N/A</v>
      </c>
    </row>
    <row r="187" spans="1:3" x14ac:dyDescent="0.2">
      <c r="A187" s="3" t="e">
        <f t="shared" si="6"/>
        <v>#N/A</v>
      </c>
      <c r="B187" s="3" t="e">
        <f t="shared" si="7"/>
        <v>#N/A</v>
      </c>
      <c r="C187" s="3" t="e">
        <f t="shared" si="8"/>
        <v>#N/A</v>
      </c>
    </row>
    <row r="188" spans="1:3" x14ac:dyDescent="0.2">
      <c r="A188" s="2" t="e">
        <f t="shared" si="6"/>
        <v>#N/A</v>
      </c>
      <c r="B188" s="2" t="e">
        <f t="shared" si="7"/>
        <v>#N/A</v>
      </c>
      <c r="C188" s="2" t="e">
        <f t="shared" si="8"/>
        <v>#N/A</v>
      </c>
    </row>
    <row r="189" spans="1:3" x14ac:dyDescent="0.2">
      <c r="A189" s="3" t="e">
        <f t="shared" si="6"/>
        <v>#N/A</v>
      </c>
      <c r="B189" s="3" t="e">
        <f t="shared" si="7"/>
        <v>#N/A</v>
      </c>
      <c r="C189" s="3" t="e">
        <f t="shared" si="8"/>
        <v>#N/A</v>
      </c>
    </row>
    <row r="190" spans="1:3" x14ac:dyDescent="0.2">
      <c r="A190" s="2" t="e">
        <f t="shared" si="6"/>
        <v>#N/A</v>
      </c>
      <c r="B190" s="2" t="e">
        <f t="shared" si="7"/>
        <v>#N/A</v>
      </c>
      <c r="C190" s="2" t="e">
        <f t="shared" si="8"/>
        <v>#N/A</v>
      </c>
    </row>
    <row r="191" spans="1:3" x14ac:dyDescent="0.2">
      <c r="A191" s="3" t="e">
        <f t="shared" si="6"/>
        <v>#N/A</v>
      </c>
      <c r="B191" s="3" t="e">
        <f t="shared" si="7"/>
        <v>#N/A</v>
      </c>
      <c r="C191" s="3" t="e">
        <f t="shared" si="8"/>
        <v>#N/A</v>
      </c>
    </row>
    <row r="192" spans="1:3" x14ac:dyDescent="0.2">
      <c r="A192" s="2" t="e">
        <f t="shared" si="6"/>
        <v>#N/A</v>
      </c>
      <c r="B192" s="2" t="e">
        <f t="shared" si="7"/>
        <v>#N/A</v>
      </c>
      <c r="C192" s="2" t="e">
        <f t="shared" si="8"/>
        <v>#N/A</v>
      </c>
    </row>
    <row r="193" spans="1:3" x14ac:dyDescent="0.2">
      <c r="A193" s="3" t="e">
        <f t="shared" si="6"/>
        <v>#N/A</v>
      </c>
      <c r="B193" s="3" t="e">
        <f t="shared" si="7"/>
        <v>#N/A</v>
      </c>
      <c r="C193" s="3" t="e">
        <f t="shared" si="8"/>
        <v>#N/A</v>
      </c>
    </row>
    <row r="194" spans="1:3" x14ac:dyDescent="0.2">
      <c r="A194" s="2" t="e">
        <f t="shared" si="6"/>
        <v>#N/A</v>
      </c>
      <c r="B194" s="2" t="e">
        <f t="shared" si="7"/>
        <v>#N/A</v>
      </c>
      <c r="C194" s="2" t="e">
        <f t="shared" si="8"/>
        <v>#N/A</v>
      </c>
    </row>
    <row r="195" spans="1:3" x14ac:dyDescent="0.2">
      <c r="A195" s="3" t="e">
        <f t="shared" si="6"/>
        <v>#N/A</v>
      </c>
      <c r="B195" s="3" t="e">
        <f t="shared" si="7"/>
        <v>#N/A</v>
      </c>
      <c r="C195" s="3" t="e">
        <f t="shared" si="8"/>
        <v>#N/A</v>
      </c>
    </row>
    <row r="196" spans="1:3" x14ac:dyDescent="0.2">
      <c r="A196" s="2" t="e">
        <f t="shared" si="6"/>
        <v>#N/A</v>
      </c>
      <c r="B196" s="2" t="e">
        <f t="shared" si="7"/>
        <v>#N/A</v>
      </c>
      <c r="C196" s="2" t="e">
        <f t="shared" si="8"/>
        <v>#N/A</v>
      </c>
    </row>
    <row r="197" spans="1:3" x14ac:dyDescent="0.2">
      <c r="A197" s="3" t="e">
        <f t="shared" ref="A197:A260" si="9">IF(ISNA(A196), NA(), IF(A196 + $H$6 &lt;= $H$7 + 0.000000001, A196 + $H$6, NA()))</f>
        <v>#N/A</v>
      </c>
      <c r="B197" s="3" t="e">
        <f t="shared" ref="B197:B260" si="10">IF(ISNA(A197), NA(), $H$4 * EXP($H$5 * A197))</f>
        <v>#N/A</v>
      </c>
      <c r="C197" s="3" t="e">
        <f t="shared" ref="C197:C260" si="11">IF(ISNA(A197), NA(), C196 + $H$5 * C196 * $H$6)</f>
        <v>#N/A</v>
      </c>
    </row>
    <row r="198" spans="1:3" x14ac:dyDescent="0.2">
      <c r="A198" s="2" t="e">
        <f t="shared" si="9"/>
        <v>#N/A</v>
      </c>
      <c r="B198" s="2" t="e">
        <f t="shared" si="10"/>
        <v>#N/A</v>
      </c>
      <c r="C198" s="2" t="e">
        <f t="shared" si="11"/>
        <v>#N/A</v>
      </c>
    </row>
    <row r="199" spans="1:3" x14ac:dyDescent="0.2">
      <c r="A199" s="3" t="e">
        <f t="shared" si="9"/>
        <v>#N/A</v>
      </c>
      <c r="B199" s="3" t="e">
        <f t="shared" si="10"/>
        <v>#N/A</v>
      </c>
      <c r="C199" s="3" t="e">
        <f t="shared" si="11"/>
        <v>#N/A</v>
      </c>
    </row>
    <row r="200" spans="1:3" x14ac:dyDescent="0.2">
      <c r="A200" s="2" t="e">
        <f t="shared" si="9"/>
        <v>#N/A</v>
      </c>
      <c r="B200" s="2" t="e">
        <f t="shared" si="10"/>
        <v>#N/A</v>
      </c>
      <c r="C200" s="2" t="e">
        <f t="shared" si="11"/>
        <v>#N/A</v>
      </c>
    </row>
    <row r="201" spans="1:3" x14ac:dyDescent="0.2">
      <c r="A201" s="3" t="e">
        <f t="shared" si="9"/>
        <v>#N/A</v>
      </c>
      <c r="B201" s="3" t="e">
        <f t="shared" si="10"/>
        <v>#N/A</v>
      </c>
      <c r="C201" s="3" t="e">
        <f t="shared" si="11"/>
        <v>#N/A</v>
      </c>
    </row>
    <row r="202" spans="1:3" x14ac:dyDescent="0.2">
      <c r="A202" s="2" t="e">
        <f t="shared" si="9"/>
        <v>#N/A</v>
      </c>
      <c r="B202" s="2" t="e">
        <f t="shared" si="10"/>
        <v>#N/A</v>
      </c>
      <c r="C202" s="2" t="e">
        <f t="shared" si="11"/>
        <v>#N/A</v>
      </c>
    </row>
    <row r="203" spans="1:3" x14ac:dyDescent="0.2">
      <c r="A203" s="3" t="e">
        <f t="shared" si="9"/>
        <v>#N/A</v>
      </c>
      <c r="B203" s="3" t="e">
        <f t="shared" si="10"/>
        <v>#N/A</v>
      </c>
      <c r="C203" s="3" t="e">
        <f t="shared" si="11"/>
        <v>#N/A</v>
      </c>
    </row>
    <row r="204" spans="1:3" x14ac:dyDescent="0.2">
      <c r="A204" s="2" t="e">
        <f t="shared" si="9"/>
        <v>#N/A</v>
      </c>
      <c r="B204" s="2" t="e">
        <f t="shared" si="10"/>
        <v>#N/A</v>
      </c>
      <c r="C204" s="2" t="e">
        <f t="shared" si="11"/>
        <v>#N/A</v>
      </c>
    </row>
    <row r="205" spans="1:3" x14ac:dyDescent="0.2">
      <c r="A205" s="3" t="e">
        <f t="shared" si="9"/>
        <v>#N/A</v>
      </c>
      <c r="B205" s="3" t="e">
        <f t="shared" si="10"/>
        <v>#N/A</v>
      </c>
      <c r="C205" s="3" t="e">
        <f t="shared" si="11"/>
        <v>#N/A</v>
      </c>
    </row>
    <row r="206" spans="1:3" x14ac:dyDescent="0.2">
      <c r="A206" s="2" t="e">
        <f t="shared" si="9"/>
        <v>#N/A</v>
      </c>
      <c r="B206" s="2" t="e">
        <f t="shared" si="10"/>
        <v>#N/A</v>
      </c>
      <c r="C206" s="2" t="e">
        <f t="shared" si="11"/>
        <v>#N/A</v>
      </c>
    </row>
    <row r="207" spans="1:3" x14ac:dyDescent="0.2">
      <c r="A207" s="3" t="e">
        <f t="shared" si="9"/>
        <v>#N/A</v>
      </c>
      <c r="B207" s="3" t="e">
        <f t="shared" si="10"/>
        <v>#N/A</v>
      </c>
      <c r="C207" s="3" t="e">
        <f t="shared" si="11"/>
        <v>#N/A</v>
      </c>
    </row>
    <row r="208" spans="1:3" x14ac:dyDescent="0.2">
      <c r="A208" s="2" t="e">
        <f t="shared" si="9"/>
        <v>#N/A</v>
      </c>
      <c r="B208" s="2" t="e">
        <f t="shared" si="10"/>
        <v>#N/A</v>
      </c>
      <c r="C208" s="2" t="e">
        <f t="shared" si="11"/>
        <v>#N/A</v>
      </c>
    </row>
    <row r="209" spans="1:3" x14ac:dyDescent="0.2">
      <c r="A209" s="3" t="e">
        <f t="shared" si="9"/>
        <v>#N/A</v>
      </c>
      <c r="B209" s="3" t="e">
        <f t="shared" si="10"/>
        <v>#N/A</v>
      </c>
      <c r="C209" s="3" t="e">
        <f t="shared" si="11"/>
        <v>#N/A</v>
      </c>
    </row>
    <row r="210" spans="1:3" x14ac:dyDescent="0.2">
      <c r="A210" s="2" t="e">
        <f t="shared" si="9"/>
        <v>#N/A</v>
      </c>
      <c r="B210" s="2" t="e">
        <f t="shared" si="10"/>
        <v>#N/A</v>
      </c>
      <c r="C210" s="2" t="e">
        <f t="shared" si="11"/>
        <v>#N/A</v>
      </c>
    </row>
    <row r="211" spans="1:3" x14ac:dyDescent="0.2">
      <c r="A211" s="3" t="e">
        <f t="shared" si="9"/>
        <v>#N/A</v>
      </c>
      <c r="B211" s="3" t="e">
        <f t="shared" si="10"/>
        <v>#N/A</v>
      </c>
      <c r="C211" s="3" t="e">
        <f t="shared" si="11"/>
        <v>#N/A</v>
      </c>
    </row>
    <row r="212" spans="1:3" x14ac:dyDescent="0.2">
      <c r="A212" s="2" t="e">
        <f t="shared" si="9"/>
        <v>#N/A</v>
      </c>
      <c r="B212" s="2" t="e">
        <f t="shared" si="10"/>
        <v>#N/A</v>
      </c>
      <c r="C212" s="2" t="e">
        <f t="shared" si="11"/>
        <v>#N/A</v>
      </c>
    </row>
    <row r="213" spans="1:3" x14ac:dyDescent="0.2">
      <c r="A213" s="3" t="e">
        <f t="shared" si="9"/>
        <v>#N/A</v>
      </c>
      <c r="B213" s="3" t="e">
        <f t="shared" si="10"/>
        <v>#N/A</v>
      </c>
      <c r="C213" s="3" t="e">
        <f t="shared" si="11"/>
        <v>#N/A</v>
      </c>
    </row>
    <row r="214" spans="1:3" x14ac:dyDescent="0.2">
      <c r="A214" s="2" t="e">
        <f t="shared" si="9"/>
        <v>#N/A</v>
      </c>
      <c r="B214" s="2" t="e">
        <f t="shared" si="10"/>
        <v>#N/A</v>
      </c>
      <c r="C214" s="2" t="e">
        <f t="shared" si="11"/>
        <v>#N/A</v>
      </c>
    </row>
    <row r="215" spans="1:3" x14ac:dyDescent="0.2">
      <c r="A215" s="3" t="e">
        <f t="shared" si="9"/>
        <v>#N/A</v>
      </c>
      <c r="B215" s="3" t="e">
        <f t="shared" si="10"/>
        <v>#N/A</v>
      </c>
      <c r="C215" s="3" t="e">
        <f t="shared" si="11"/>
        <v>#N/A</v>
      </c>
    </row>
    <row r="216" spans="1:3" x14ac:dyDescent="0.2">
      <c r="A216" s="2" t="e">
        <f t="shared" si="9"/>
        <v>#N/A</v>
      </c>
      <c r="B216" s="2" t="e">
        <f t="shared" si="10"/>
        <v>#N/A</v>
      </c>
      <c r="C216" s="2" t="e">
        <f t="shared" si="11"/>
        <v>#N/A</v>
      </c>
    </row>
    <row r="217" spans="1:3" x14ac:dyDescent="0.2">
      <c r="A217" s="3" t="e">
        <f t="shared" si="9"/>
        <v>#N/A</v>
      </c>
      <c r="B217" s="3" t="e">
        <f t="shared" si="10"/>
        <v>#N/A</v>
      </c>
      <c r="C217" s="3" t="e">
        <f t="shared" si="11"/>
        <v>#N/A</v>
      </c>
    </row>
    <row r="218" spans="1:3" x14ac:dyDescent="0.2">
      <c r="A218" s="2" t="e">
        <f t="shared" si="9"/>
        <v>#N/A</v>
      </c>
      <c r="B218" s="2" t="e">
        <f t="shared" si="10"/>
        <v>#N/A</v>
      </c>
      <c r="C218" s="2" t="e">
        <f t="shared" si="11"/>
        <v>#N/A</v>
      </c>
    </row>
    <row r="219" spans="1:3" x14ac:dyDescent="0.2">
      <c r="A219" s="3" t="e">
        <f t="shared" si="9"/>
        <v>#N/A</v>
      </c>
      <c r="B219" s="3" t="e">
        <f t="shared" si="10"/>
        <v>#N/A</v>
      </c>
      <c r="C219" s="3" t="e">
        <f t="shared" si="11"/>
        <v>#N/A</v>
      </c>
    </row>
    <row r="220" spans="1:3" x14ac:dyDescent="0.2">
      <c r="A220" s="2" t="e">
        <f t="shared" si="9"/>
        <v>#N/A</v>
      </c>
      <c r="B220" s="2" t="e">
        <f t="shared" si="10"/>
        <v>#N/A</v>
      </c>
      <c r="C220" s="2" t="e">
        <f t="shared" si="11"/>
        <v>#N/A</v>
      </c>
    </row>
    <row r="221" spans="1:3" x14ac:dyDescent="0.2">
      <c r="A221" s="3" t="e">
        <f t="shared" si="9"/>
        <v>#N/A</v>
      </c>
      <c r="B221" s="3" t="e">
        <f t="shared" si="10"/>
        <v>#N/A</v>
      </c>
      <c r="C221" s="3" t="e">
        <f t="shared" si="11"/>
        <v>#N/A</v>
      </c>
    </row>
    <row r="222" spans="1:3" x14ac:dyDescent="0.2">
      <c r="A222" s="2" t="e">
        <f t="shared" si="9"/>
        <v>#N/A</v>
      </c>
      <c r="B222" s="2" t="e">
        <f t="shared" si="10"/>
        <v>#N/A</v>
      </c>
      <c r="C222" s="2" t="e">
        <f t="shared" si="11"/>
        <v>#N/A</v>
      </c>
    </row>
    <row r="223" spans="1:3" x14ac:dyDescent="0.2">
      <c r="A223" s="3" t="e">
        <f t="shared" si="9"/>
        <v>#N/A</v>
      </c>
      <c r="B223" s="3" t="e">
        <f t="shared" si="10"/>
        <v>#N/A</v>
      </c>
      <c r="C223" s="3" t="e">
        <f t="shared" si="11"/>
        <v>#N/A</v>
      </c>
    </row>
    <row r="224" spans="1:3" x14ac:dyDescent="0.2">
      <c r="A224" s="2" t="e">
        <f t="shared" si="9"/>
        <v>#N/A</v>
      </c>
      <c r="B224" s="2" t="e">
        <f t="shared" si="10"/>
        <v>#N/A</v>
      </c>
      <c r="C224" s="2" t="e">
        <f t="shared" si="11"/>
        <v>#N/A</v>
      </c>
    </row>
    <row r="225" spans="1:3" x14ac:dyDescent="0.2">
      <c r="A225" s="3" t="e">
        <f t="shared" si="9"/>
        <v>#N/A</v>
      </c>
      <c r="B225" s="3" t="e">
        <f t="shared" si="10"/>
        <v>#N/A</v>
      </c>
      <c r="C225" s="3" t="e">
        <f t="shared" si="11"/>
        <v>#N/A</v>
      </c>
    </row>
    <row r="226" spans="1:3" x14ac:dyDescent="0.2">
      <c r="A226" s="2" t="e">
        <f t="shared" si="9"/>
        <v>#N/A</v>
      </c>
      <c r="B226" s="2" t="e">
        <f t="shared" si="10"/>
        <v>#N/A</v>
      </c>
      <c r="C226" s="2" t="e">
        <f t="shared" si="11"/>
        <v>#N/A</v>
      </c>
    </row>
    <row r="227" spans="1:3" x14ac:dyDescent="0.2">
      <c r="A227" s="3" t="e">
        <f t="shared" si="9"/>
        <v>#N/A</v>
      </c>
      <c r="B227" s="3" t="e">
        <f t="shared" si="10"/>
        <v>#N/A</v>
      </c>
      <c r="C227" s="3" t="e">
        <f t="shared" si="11"/>
        <v>#N/A</v>
      </c>
    </row>
    <row r="228" spans="1:3" x14ac:dyDescent="0.2">
      <c r="A228" s="2" t="e">
        <f t="shared" si="9"/>
        <v>#N/A</v>
      </c>
      <c r="B228" s="2" t="e">
        <f t="shared" si="10"/>
        <v>#N/A</v>
      </c>
      <c r="C228" s="2" t="e">
        <f t="shared" si="11"/>
        <v>#N/A</v>
      </c>
    </row>
    <row r="229" spans="1:3" x14ac:dyDescent="0.2">
      <c r="A229" s="3" t="e">
        <f t="shared" si="9"/>
        <v>#N/A</v>
      </c>
      <c r="B229" s="3" t="e">
        <f t="shared" si="10"/>
        <v>#N/A</v>
      </c>
      <c r="C229" s="3" t="e">
        <f t="shared" si="11"/>
        <v>#N/A</v>
      </c>
    </row>
    <row r="230" spans="1:3" x14ac:dyDescent="0.2">
      <c r="A230" s="2" t="e">
        <f t="shared" si="9"/>
        <v>#N/A</v>
      </c>
      <c r="B230" s="2" t="e">
        <f t="shared" si="10"/>
        <v>#N/A</v>
      </c>
      <c r="C230" s="2" t="e">
        <f t="shared" si="11"/>
        <v>#N/A</v>
      </c>
    </row>
    <row r="231" spans="1:3" x14ac:dyDescent="0.2">
      <c r="A231" s="3" t="e">
        <f t="shared" si="9"/>
        <v>#N/A</v>
      </c>
      <c r="B231" s="3" t="e">
        <f t="shared" si="10"/>
        <v>#N/A</v>
      </c>
      <c r="C231" s="3" t="e">
        <f t="shared" si="11"/>
        <v>#N/A</v>
      </c>
    </row>
    <row r="232" spans="1:3" x14ac:dyDescent="0.2">
      <c r="A232" s="2" t="e">
        <f t="shared" si="9"/>
        <v>#N/A</v>
      </c>
      <c r="B232" s="2" t="e">
        <f t="shared" si="10"/>
        <v>#N/A</v>
      </c>
      <c r="C232" s="2" t="e">
        <f t="shared" si="11"/>
        <v>#N/A</v>
      </c>
    </row>
    <row r="233" spans="1:3" x14ac:dyDescent="0.2">
      <c r="A233" s="3" t="e">
        <f t="shared" si="9"/>
        <v>#N/A</v>
      </c>
      <c r="B233" s="3" t="e">
        <f t="shared" si="10"/>
        <v>#N/A</v>
      </c>
      <c r="C233" s="3" t="e">
        <f t="shared" si="11"/>
        <v>#N/A</v>
      </c>
    </row>
    <row r="234" spans="1:3" x14ac:dyDescent="0.2">
      <c r="A234" s="2" t="e">
        <f t="shared" si="9"/>
        <v>#N/A</v>
      </c>
      <c r="B234" s="2" t="e">
        <f t="shared" si="10"/>
        <v>#N/A</v>
      </c>
      <c r="C234" s="2" t="e">
        <f t="shared" si="11"/>
        <v>#N/A</v>
      </c>
    </row>
    <row r="235" spans="1:3" x14ac:dyDescent="0.2">
      <c r="A235" s="3" t="e">
        <f t="shared" si="9"/>
        <v>#N/A</v>
      </c>
      <c r="B235" s="3" t="e">
        <f t="shared" si="10"/>
        <v>#N/A</v>
      </c>
      <c r="C235" s="3" t="e">
        <f t="shared" si="11"/>
        <v>#N/A</v>
      </c>
    </row>
    <row r="236" spans="1:3" x14ac:dyDescent="0.2">
      <c r="A236" s="2" t="e">
        <f t="shared" si="9"/>
        <v>#N/A</v>
      </c>
      <c r="B236" s="2" t="e">
        <f t="shared" si="10"/>
        <v>#N/A</v>
      </c>
      <c r="C236" s="2" t="e">
        <f t="shared" si="11"/>
        <v>#N/A</v>
      </c>
    </row>
    <row r="237" spans="1:3" x14ac:dyDescent="0.2">
      <c r="A237" s="3" t="e">
        <f t="shared" si="9"/>
        <v>#N/A</v>
      </c>
      <c r="B237" s="3" t="e">
        <f t="shared" si="10"/>
        <v>#N/A</v>
      </c>
      <c r="C237" s="3" t="e">
        <f t="shared" si="11"/>
        <v>#N/A</v>
      </c>
    </row>
    <row r="238" spans="1:3" x14ac:dyDescent="0.2">
      <c r="A238" s="2" t="e">
        <f t="shared" si="9"/>
        <v>#N/A</v>
      </c>
      <c r="B238" s="2" t="e">
        <f t="shared" si="10"/>
        <v>#N/A</v>
      </c>
      <c r="C238" s="2" t="e">
        <f t="shared" si="11"/>
        <v>#N/A</v>
      </c>
    </row>
    <row r="239" spans="1:3" x14ac:dyDescent="0.2">
      <c r="A239" s="3" t="e">
        <f t="shared" si="9"/>
        <v>#N/A</v>
      </c>
      <c r="B239" s="3" t="e">
        <f t="shared" si="10"/>
        <v>#N/A</v>
      </c>
      <c r="C239" s="3" t="e">
        <f t="shared" si="11"/>
        <v>#N/A</v>
      </c>
    </row>
    <row r="240" spans="1:3" x14ac:dyDescent="0.2">
      <c r="A240" s="2" t="e">
        <f t="shared" si="9"/>
        <v>#N/A</v>
      </c>
      <c r="B240" s="2" t="e">
        <f t="shared" si="10"/>
        <v>#N/A</v>
      </c>
      <c r="C240" s="2" t="e">
        <f t="shared" si="11"/>
        <v>#N/A</v>
      </c>
    </row>
    <row r="241" spans="1:3" x14ac:dyDescent="0.2">
      <c r="A241" s="3" t="e">
        <f t="shared" si="9"/>
        <v>#N/A</v>
      </c>
      <c r="B241" s="3" t="e">
        <f t="shared" si="10"/>
        <v>#N/A</v>
      </c>
      <c r="C241" s="3" t="e">
        <f t="shared" si="11"/>
        <v>#N/A</v>
      </c>
    </row>
    <row r="242" spans="1:3" x14ac:dyDescent="0.2">
      <c r="A242" s="2" t="e">
        <f t="shared" si="9"/>
        <v>#N/A</v>
      </c>
      <c r="B242" s="2" t="e">
        <f t="shared" si="10"/>
        <v>#N/A</v>
      </c>
      <c r="C242" s="2" t="e">
        <f t="shared" si="11"/>
        <v>#N/A</v>
      </c>
    </row>
    <row r="243" spans="1:3" x14ac:dyDescent="0.2">
      <c r="A243" s="3" t="e">
        <f t="shared" si="9"/>
        <v>#N/A</v>
      </c>
      <c r="B243" s="3" t="e">
        <f t="shared" si="10"/>
        <v>#N/A</v>
      </c>
      <c r="C243" s="3" t="e">
        <f t="shared" si="11"/>
        <v>#N/A</v>
      </c>
    </row>
    <row r="244" spans="1:3" x14ac:dyDescent="0.2">
      <c r="A244" s="2" t="e">
        <f t="shared" si="9"/>
        <v>#N/A</v>
      </c>
      <c r="B244" s="2" t="e">
        <f t="shared" si="10"/>
        <v>#N/A</v>
      </c>
      <c r="C244" s="2" t="e">
        <f t="shared" si="11"/>
        <v>#N/A</v>
      </c>
    </row>
    <row r="245" spans="1:3" x14ac:dyDescent="0.2">
      <c r="A245" s="3" t="e">
        <f t="shared" si="9"/>
        <v>#N/A</v>
      </c>
      <c r="B245" s="3" t="e">
        <f t="shared" si="10"/>
        <v>#N/A</v>
      </c>
      <c r="C245" s="3" t="e">
        <f t="shared" si="11"/>
        <v>#N/A</v>
      </c>
    </row>
    <row r="246" spans="1:3" x14ac:dyDescent="0.2">
      <c r="A246" s="2" t="e">
        <f t="shared" si="9"/>
        <v>#N/A</v>
      </c>
      <c r="B246" s="2" t="e">
        <f t="shared" si="10"/>
        <v>#N/A</v>
      </c>
      <c r="C246" s="2" t="e">
        <f t="shared" si="11"/>
        <v>#N/A</v>
      </c>
    </row>
    <row r="247" spans="1:3" x14ac:dyDescent="0.2">
      <c r="A247" s="3" t="e">
        <f t="shared" si="9"/>
        <v>#N/A</v>
      </c>
      <c r="B247" s="3" t="e">
        <f t="shared" si="10"/>
        <v>#N/A</v>
      </c>
      <c r="C247" s="3" t="e">
        <f t="shared" si="11"/>
        <v>#N/A</v>
      </c>
    </row>
    <row r="248" spans="1:3" x14ac:dyDescent="0.2">
      <c r="A248" s="2" t="e">
        <f t="shared" si="9"/>
        <v>#N/A</v>
      </c>
      <c r="B248" s="2" t="e">
        <f t="shared" si="10"/>
        <v>#N/A</v>
      </c>
      <c r="C248" s="2" t="e">
        <f t="shared" si="11"/>
        <v>#N/A</v>
      </c>
    </row>
    <row r="249" spans="1:3" x14ac:dyDescent="0.2">
      <c r="A249" s="3" t="e">
        <f t="shared" si="9"/>
        <v>#N/A</v>
      </c>
      <c r="B249" s="3" t="e">
        <f t="shared" si="10"/>
        <v>#N/A</v>
      </c>
      <c r="C249" s="3" t="e">
        <f t="shared" si="11"/>
        <v>#N/A</v>
      </c>
    </row>
    <row r="250" spans="1:3" x14ac:dyDescent="0.2">
      <c r="A250" s="2" t="e">
        <f t="shared" si="9"/>
        <v>#N/A</v>
      </c>
      <c r="B250" s="2" t="e">
        <f t="shared" si="10"/>
        <v>#N/A</v>
      </c>
      <c r="C250" s="2" t="e">
        <f t="shared" si="11"/>
        <v>#N/A</v>
      </c>
    </row>
    <row r="251" spans="1:3" x14ac:dyDescent="0.2">
      <c r="A251" s="3" t="e">
        <f t="shared" si="9"/>
        <v>#N/A</v>
      </c>
      <c r="B251" s="3" t="e">
        <f t="shared" si="10"/>
        <v>#N/A</v>
      </c>
      <c r="C251" s="3" t="e">
        <f t="shared" si="11"/>
        <v>#N/A</v>
      </c>
    </row>
    <row r="252" spans="1:3" x14ac:dyDescent="0.2">
      <c r="A252" s="2" t="e">
        <f t="shared" si="9"/>
        <v>#N/A</v>
      </c>
      <c r="B252" s="2" t="e">
        <f t="shared" si="10"/>
        <v>#N/A</v>
      </c>
      <c r="C252" s="2" t="e">
        <f t="shared" si="11"/>
        <v>#N/A</v>
      </c>
    </row>
    <row r="253" spans="1:3" x14ac:dyDescent="0.2">
      <c r="A253" s="3" t="e">
        <f t="shared" si="9"/>
        <v>#N/A</v>
      </c>
      <c r="B253" s="3" t="e">
        <f t="shared" si="10"/>
        <v>#N/A</v>
      </c>
      <c r="C253" s="3" t="e">
        <f t="shared" si="11"/>
        <v>#N/A</v>
      </c>
    </row>
    <row r="254" spans="1:3" x14ac:dyDescent="0.2">
      <c r="A254" s="2" t="e">
        <f t="shared" si="9"/>
        <v>#N/A</v>
      </c>
      <c r="B254" s="2" t="e">
        <f t="shared" si="10"/>
        <v>#N/A</v>
      </c>
      <c r="C254" s="2" t="e">
        <f t="shared" si="11"/>
        <v>#N/A</v>
      </c>
    </row>
    <row r="255" spans="1:3" x14ac:dyDescent="0.2">
      <c r="A255" s="3" t="e">
        <f t="shared" si="9"/>
        <v>#N/A</v>
      </c>
      <c r="B255" s="3" t="e">
        <f t="shared" si="10"/>
        <v>#N/A</v>
      </c>
      <c r="C255" s="3" t="e">
        <f t="shared" si="11"/>
        <v>#N/A</v>
      </c>
    </row>
    <row r="256" spans="1:3" x14ac:dyDescent="0.2">
      <c r="A256" s="2" t="e">
        <f t="shared" si="9"/>
        <v>#N/A</v>
      </c>
      <c r="B256" s="2" t="e">
        <f t="shared" si="10"/>
        <v>#N/A</v>
      </c>
      <c r="C256" s="2" t="e">
        <f t="shared" si="11"/>
        <v>#N/A</v>
      </c>
    </row>
    <row r="257" spans="1:3" x14ac:dyDescent="0.2">
      <c r="A257" s="3" t="e">
        <f t="shared" si="9"/>
        <v>#N/A</v>
      </c>
      <c r="B257" s="3" t="e">
        <f t="shared" si="10"/>
        <v>#N/A</v>
      </c>
      <c r="C257" s="3" t="e">
        <f t="shared" si="11"/>
        <v>#N/A</v>
      </c>
    </row>
    <row r="258" spans="1:3" x14ac:dyDescent="0.2">
      <c r="A258" s="2" t="e">
        <f t="shared" si="9"/>
        <v>#N/A</v>
      </c>
      <c r="B258" s="2" t="e">
        <f t="shared" si="10"/>
        <v>#N/A</v>
      </c>
      <c r="C258" s="2" t="e">
        <f t="shared" si="11"/>
        <v>#N/A</v>
      </c>
    </row>
    <row r="259" spans="1:3" x14ac:dyDescent="0.2">
      <c r="A259" s="3" t="e">
        <f t="shared" si="9"/>
        <v>#N/A</v>
      </c>
      <c r="B259" s="3" t="e">
        <f t="shared" si="10"/>
        <v>#N/A</v>
      </c>
      <c r="C259" s="3" t="e">
        <f t="shared" si="11"/>
        <v>#N/A</v>
      </c>
    </row>
    <row r="260" spans="1:3" x14ac:dyDescent="0.2">
      <c r="A260" s="2" t="e">
        <f t="shared" si="9"/>
        <v>#N/A</v>
      </c>
      <c r="B260" s="2" t="e">
        <f t="shared" si="10"/>
        <v>#N/A</v>
      </c>
      <c r="C260" s="2" t="e">
        <f t="shared" si="11"/>
        <v>#N/A</v>
      </c>
    </row>
    <row r="261" spans="1:3" x14ac:dyDescent="0.2">
      <c r="A261" s="3" t="e">
        <f t="shared" ref="A261:A324" si="12">IF(ISNA(A260), NA(), IF(A260 + $H$6 &lt;= $H$7 + 0.000000001, A260 + $H$6, NA()))</f>
        <v>#N/A</v>
      </c>
      <c r="B261" s="3" t="e">
        <f t="shared" ref="B261:B324" si="13">IF(ISNA(A261), NA(), $H$4 * EXP($H$5 * A261))</f>
        <v>#N/A</v>
      </c>
      <c r="C261" s="3" t="e">
        <f t="shared" ref="C261:C324" si="14">IF(ISNA(A261), NA(), C260 + $H$5 * C260 * $H$6)</f>
        <v>#N/A</v>
      </c>
    </row>
    <row r="262" spans="1:3" x14ac:dyDescent="0.2">
      <c r="A262" s="2" t="e">
        <f t="shared" si="12"/>
        <v>#N/A</v>
      </c>
      <c r="B262" s="2" t="e">
        <f t="shared" si="13"/>
        <v>#N/A</v>
      </c>
      <c r="C262" s="2" t="e">
        <f t="shared" si="14"/>
        <v>#N/A</v>
      </c>
    </row>
    <row r="263" spans="1:3" x14ac:dyDescent="0.2">
      <c r="A263" s="3" t="e">
        <f t="shared" si="12"/>
        <v>#N/A</v>
      </c>
      <c r="B263" s="3" t="e">
        <f t="shared" si="13"/>
        <v>#N/A</v>
      </c>
      <c r="C263" s="3" t="e">
        <f t="shared" si="14"/>
        <v>#N/A</v>
      </c>
    </row>
    <row r="264" spans="1:3" x14ac:dyDescent="0.2">
      <c r="A264" s="2" t="e">
        <f t="shared" si="12"/>
        <v>#N/A</v>
      </c>
      <c r="B264" s="2" t="e">
        <f t="shared" si="13"/>
        <v>#N/A</v>
      </c>
      <c r="C264" s="2" t="e">
        <f t="shared" si="14"/>
        <v>#N/A</v>
      </c>
    </row>
    <row r="265" spans="1:3" x14ac:dyDescent="0.2">
      <c r="A265" s="3" t="e">
        <f t="shared" si="12"/>
        <v>#N/A</v>
      </c>
      <c r="B265" s="3" t="e">
        <f t="shared" si="13"/>
        <v>#N/A</v>
      </c>
      <c r="C265" s="3" t="e">
        <f t="shared" si="14"/>
        <v>#N/A</v>
      </c>
    </row>
    <row r="266" spans="1:3" x14ac:dyDescent="0.2">
      <c r="A266" s="2" t="e">
        <f t="shared" si="12"/>
        <v>#N/A</v>
      </c>
      <c r="B266" s="2" t="e">
        <f t="shared" si="13"/>
        <v>#N/A</v>
      </c>
      <c r="C266" s="2" t="e">
        <f t="shared" si="14"/>
        <v>#N/A</v>
      </c>
    </row>
    <row r="267" spans="1:3" x14ac:dyDescent="0.2">
      <c r="A267" s="3" t="e">
        <f t="shared" si="12"/>
        <v>#N/A</v>
      </c>
      <c r="B267" s="3" t="e">
        <f t="shared" si="13"/>
        <v>#N/A</v>
      </c>
      <c r="C267" s="3" t="e">
        <f t="shared" si="14"/>
        <v>#N/A</v>
      </c>
    </row>
    <row r="268" spans="1:3" x14ac:dyDescent="0.2">
      <c r="A268" s="2" t="e">
        <f t="shared" si="12"/>
        <v>#N/A</v>
      </c>
      <c r="B268" s="2" t="e">
        <f t="shared" si="13"/>
        <v>#N/A</v>
      </c>
      <c r="C268" s="2" t="e">
        <f t="shared" si="14"/>
        <v>#N/A</v>
      </c>
    </row>
    <row r="269" spans="1:3" x14ac:dyDescent="0.2">
      <c r="A269" s="3" t="e">
        <f t="shared" si="12"/>
        <v>#N/A</v>
      </c>
      <c r="B269" s="3" t="e">
        <f t="shared" si="13"/>
        <v>#N/A</v>
      </c>
      <c r="C269" s="3" t="e">
        <f t="shared" si="14"/>
        <v>#N/A</v>
      </c>
    </row>
    <row r="270" spans="1:3" x14ac:dyDescent="0.2">
      <c r="A270" s="2" t="e">
        <f t="shared" si="12"/>
        <v>#N/A</v>
      </c>
      <c r="B270" s="2" t="e">
        <f t="shared" si="13"/>
        <v>#N/A</v>
      </c>
      <c r="C270" s="2" t="e">
        <f t="shared" si="14"/>
        <v>#N/A</v>
      </c>
    </row>
    <row r="271" spans="1:3" x14ac:dyDescent="0.2">
      <c r="A271" s="3" t="e">
        <f t="shared" si="12"/>
        <v>#N/A</v>
      </c>
      <c r="B271" s="3" t="e">
        <f t="shared" si="13"/>
        <v>#N/A</v>
      </c>
      <c r="C271" s="3" t="e">
        <f t="shared" si="14"/>
        <v>#N/A</v>
      </c>
    </row>
    <row r="272" spans="1:3" x14ac:dyDescent="0.2">
      <c r="A272" s="2" t="e">
        <f t="shared" si="12"/>
        <v>#N/A</v>
      </c>
      <c r="B272" s="2" t="e">
        <f t="shared" si="13"/>
        <v>#N/A</v>
      </c>
      <c r="C272" s="2" t="e">
        <f t="shared" si="14"/>
        <v>#N/A</v>
      </c>
    </row>
    <row r="273" spans="1:3" x14ac:dyDescent="0.2">
      <c r="A273" s="3" t="e">
        <f t="shared" si="12"/>
        <v>#N/A</v>
      </c>
      <c r="B273" s="3" t="e">
        <f t="shared" si="13"/>
        <v>#N/A</v>
      </c>
      <c r="C273" s="3" t="e">
        <f t="shared" si="14"/>
        <v>#N/A</v>
      </c>
    </row>
    <row r="274" spans="1:3" x14ac:dyDescent="0.2">
      <c r="A274" s="2" t="e">
        <f t="shared" si="12"/>
        <v>#N/A</v>
      </c>
      <c r="B274" s="2" t="e">
        <f t="shared" si="13"/>
        <v>#N/A</v>
      </c>
      <c r="C274" s="2" t="e">
        <f t="shared" si="14"/>
        <v>#N/A</v>
      </c>
    </row>
    <row r="275" spans="1:3" x14ac:dyDescent="0.2">
      <c r="A275" s="3" t="e">
        <f t="shared" si="12"/>
        <v>#N/A</v>
      </c>
      <c r="B275" s="3" t="e">
        <f t="shared" si="13"/>
        <v>#N/A</v>
      </c>
      <c r="C275" s="3" t="e">
        <f t="shared" si="14"/>
        <v>#N/A</v>
      </c>
    </row>
    <row r="276" spans="1:3" x14ac:dyDescent="0.2">
      <c r="A276" s="2" t="e">
        <f t="shared" si="12"/>
        <v>#N/A</v>
      </c>
      <c r="B276" s="2" t="e">
        <f t="shared" si="13"/>
        <v>#N/A</v>
      </c>
      <c r="C276" s="2" t="e">
        <f t="shared" si="14"/>
        <v>#N/A</v>
      </c>
    </row>
    <row r="277" spans="1:3" x14ac:dyDescent="0.2">
      <c r="A277" s="3" t="e">
        <f t="shared" si="12"/>
        <v>#N/A</v>
      </c>
      <c r="B277" s="3" t="e">
        <f t="shared" si="13"/>
        <v>#N/A</v>
      </c>
      <c r="C277" s="3" t="e">
        <f t="shared" si="14"/>
        <v>#N/A</v>
      </c>
    </row>
    <row r="278" spans="1:3" x14ac:dyDescent="0.2">
      <c r="A278" s="2" t="e">
        <f t="shared" si="12"/>
        <v>#N/A</v>
      </c>
      <c r="B278" s="2" t="e">
        <f t="shared" si="13"/>
        <v>#N/A</v>
      </c>
      <c r="C278" s="2" t="e">
        <f t="shared" si="14"/>
        <v>#N/A</v>
      </c>
    </row>
    <row r="279" spans="1:3" x14ac:dyDescent="0.2">
      <c r="A279" s="3" t="e">
        <f t="shared" si="12"/>
        <v>#N/A</v>
      </c>
      <c r="B279" s="3" t="e">
        <f t="shared" si="13"/>
        <v>#N/A</v>
      </c>
      <c r="C279" s="3" t="e">
        <f t="shared" si="14"/>
        <v>#N/A</v>
      </c>
    </row>
    <row r="280" spans="1:3" x14ac:dyDescent="0.2">
      <c r="A280" s="2" t="e">
        <f t="shared" si="12"/>
        <v>#N/A</v>
      </c>
      <c r="B280" s="2" t="e">
        <f t="shared" si="13"/>
        <v>#N/A</v>
      </c>
      <c r="C280" s="2" t="e">
        <f t="shared" si="14"/>
        <v>#N/A</v>
      </c>
    </row>
    <row r="281" spans="1:3" x14ac:dyDescent="0.2">
      <c r="A281" s="3" t="e">
        <f t="shared" si="12"/>
        <v>#N/A</v>
      </c>
      <c r="B281" s="3" t="e">
        <f t="shared" si="13"/>
        <v>#N/A</v>
      </c>
      <c r="C281" s="3" t="e">
        <f t="shared" si="14"/>
        <v>#N/A</v>
      </c>
    </row>
    <row r="282" spans="1:3" x14ac:dyDescent="0.2">
      <c r="A282" s="2" t="e">
        <f t="shared" si="12"/>
        <v>#N/A</v>
      </c>
      <c r="B282" s="2" t="e">
        <f t="shared" si="13"/>
        <v>#N/A</v>
      </c>
      <c r="C282" s="2" t="e">
        <f t="shared" si="14"/>
        <v>#N/A</v>
      </c>
    </row>
    <row r="283" spans="1:3" x14ac:dyDescent="0.2">
      <c r="A283" s="3" t="e">
        <f t="shared" si="12"/>
        <v>#N/A</v>
      </c>
      <c r="B283" s="3" t="e">
        <f t="shared" si="13"/>
        <v>#N/A</v>
      </c>
      <c r="C283" s="3" t="e">
        <f t="shared" si="14"/>
        <v>#N/A</v>
      </c>
    </row>
    <row r="284" spans="1:3" x14ac:dyDescent="0.2">
      <c r="A284" s="2" t="e">
        <f t="shared" si="12"/>
        <v>#N/A</v>
      </c>
      <c r="B284" s="2" t="e">
        <f t="shared" si="13"/>
        <v>#N/A</v>
      </c>
      <c r="C284" s="2" t="e">
        <f t="shared" si="14"/>
        <v>#N/A</v>
      </c>
    </row>
    <row r="285" spans="1:3" x14ac:dyDescent="0.2">
      <c r="A285" s="3" t="e">
        <f t="shared" si="12"/>
        <v>#N/A</v>
      </c>
      <c r="B285" s="3" t="e">
        <f t="shared" si="13"/>
        <v>#N/A</v>
      </c>
      <c r="C285" s="3" t="e">
        <f t="shared" si="14"/>
        <v>#N/A</v>
      </c>
    </row>
    <row r="286" spans="1:3" x14ac:dyDescent="0.2">
      <c r="A286" s="2" t="e">
        <f t="shared" si="12"/>
        <v>#N/A</v>
      </c>
      <c r="B286" s="2" t="e">
        <f t="shared" si="13"/>
        <v>#N/A</v>
      </c>
      <c r="C286" s="2" t="e">
        <f t="shared" si="14"/>
        <v>#N/A</v>
      </c>
    </row>
    <row r="287" spans="1:3" x14ac:dyDescent="0.2">
      <c r="A287" s="3" t="e">
        <f t="shared" si="12"/>
        <v>#N/A</v>
      </c>
      <c r="B287" s="3" t="e">
        <f t="shared" si="13"/>
        <v>#N/A</v>
      </c>
      <c r="C287" s="3" t="e">
        <f t="shared" si="14"/>
        <v>#N/A</v>
      </c>
    </row>
    <row r="288" spans="1:3" x14ac:dyDescent="0.2">
      <c r="A288" s="2" t="e">
        <f t="shared" si="12"/>
        <v>#N/A</v>
      </c>
      <c r="B288" s="2" t="e">
        <f t="shared" si="13"/>
        <v>#N/A</v>
      </c>
      <c r="C288" s="2" t="e">
        <f t="shared" si="14"/>
        <v>#N/A</v>
      </c>
    </row>
    <row r="289" spans="1:3" x14ac:dyDescent="0.2">
      <c r="A289" s="3" t="e">
        <f t="shared" si="12"/>
        <v>#N/A</v>
      </c>
      <c r="B289" s="3" t="e">
        <f t="shared" si="13"/>
        <v>#N/A</v>
      </c>
      <c r="C289" s="3" t="e">
        <f t="shared" si="14"/>
        <v>#N/A</v>
      </c>
    </row>
    <row r="290" spans="1:3" x14ac:dyDescent="0.2">
      <c r="A290" s="2" t="e">
        <f t="shared" si="12"/>
        <v>#N/A</v>
      </c>
      <c r="B290" s="2" t="e">
        <f t="shared" si="13"/>
        <v>#N/A</v>
      </c>
      <c r="C290" s="2" t="e">
        <f t="shared" si="14"/>
        <v>#N/A</v>
      </c>
    </row>
    <row r="291" spans="1:3" x14ac:dyDescent="0.2">
      <c r="A291" s="3" t="e">
        <f t="shared" si="12"/>
        <v>#N/A</v>
      </c>
      <c r="B291" s="3" t="e">
        <f t="shared" si="13"/>
        <v>#N/A</v>
      </c>
      <c r="C291" s="3" t="e">
        <f t="shared" si="14"/>
        <v>#N/A</v>
      </c>
    </row>
    <row r="292" spans="1:3" x14ac:dyDescent="0.2">
      <c r="A292" s="2" t="e">
        <f t="shared" si="12"/>
        <v>#N/A</v>
      </c>
      <c r="B292" s="2" t="e">
        <f t="shared" si="13"/>
        <v>#N/A</v>
      </c>
      <c r="C292" s="2" t="e">
        <f t="shared" si="14"/>
        <v>#N/A</v>
      </c>
    </row>
    <row r="293" spans="1:3" x14ac:dyDescent="0.2">
      <c r="A293" s="3" t="e">
        <f t="shared" si="12"/>
        <v>#N/A</v>
      </c>
      <c r="B293" s="3" t="e">
        <f t="shared" si="13"/>
        <v>#N/A</v>
      </c>
      <c r="C293" s="3" t="e">
        <f t="shared" si="14"/>
        <v>#N/A</v>
      </c>
    </row>
    <row r="294" spans="1:3" x14ac:dyDescent="0.2">
      <c r="A294" s="2" t="e">
        <f t="shared" si="12"/>
        <v>#N/A</v>
      </c>
      <c r="B294" s="2" t="e">
        <f t="shared" si="13"/>
        <v>#N/A</v>
      </c>
      <c r="C294" s="2" t="e">
        <f t="shared" si="14"/>
        <v>#N/A</v>
      </c>
    </row>
    <row r="295" spans="1:3" x14ac:dyDescent="0.2">
      <c r="A295" s="3" t="e">
        <f t="shared" si="12"/>
        <v>#N/A</v>
      </c>
      <c r="B295" s="3" t="e">
        <f t="shared" si="13"/>
        <v>#N/A</v>
      </c>
      <c r="C295" s="3" t="e">
        <f t="shared" si="14"/>
        <v>#N/A</v>
      </c>
    </row>
    <row r="296" spans="1:3" x14ac:dyDescent="0.2">
      <c r="A296" s="2" t="e">
        <f t="shared" si="12"/>
        <v>#N/A</v>
      </c>
      <c r="B296" s="2" t="e">
        <f t="shared" si="13"/>
        <v>#N/A</v>
      </c>
      <c r="C296" s="2" t="e">
        <f t="shared" si="14"/>
        <v>#N/A</v>
      </c>
    </row>
    <row r="297" spans="1:3" x14ac:dyDescent="0.2">
      <c r="A297" s="3" t="e">
        <f t="shared" si="12"/>
        <v>#N/A</v>
      </c>
      <c r="B297" s="3" t="e">
        <f t="shared" si="13"/>
        <v>#N/A</v>
      </c>
      <c r="C297" s="3" t="e">
        <f t="shared" si="14"/>
        <v>#N/A</v>
      </c>
    </row>
    <row r="298" spans="1:3" x14ac:dyDescent="0.2">
      <c r="A298" s="2" t="e">
        <f t="shared" si="12"/>
        <v>#N/A</v>
      </c>
      <c r="B298" s="2" t="e">
        <f t="shared" si="13"/>
        <v>#N/A</v>
      </c>
      <c r="C298" s="2" t="e">
        <f t="shared" si="14"/>
        <v>#N/A</v>
      </c>
    </row>
    <row r="299" spans="1:3" x14ac:dyDescent="0.2">
      <c r="A299" s="3" t="e">
        <f t="shared" si="12"/>
        <v>#N/A</v>
      </c>
      <c r="B299" s="3" t="e">
        <f t="shared" si="13"/>
        <v>#N/A</v>
      </c>
      <c r="C299" s="3" t="e">
        <f t="shared" si="14"/>
        <v>#N/A</v>
      </c>
    </row>
    <row r="300" spans="1:3" x14ac:dyDescent="0.2">
      <c r="A300" s="2" t="e">
        <f t="shared" si="12"/>
        <v>#N/A</v>
      </c>
      <c r="B300" s="2" t="e">
        <f t="shared" si="13"/>
        <v>#N/A</v>
      </c>
      <c r="C300" s="2" t="e">
        <f t="shared" si="14"/>
        <v>#N/A</v>
      </c>
    </row>
    <row r="301" spans="1:3" x14ac:dyDescent="0.2">
      <c r="A301" s="3" t="e">
        <f t="shared" si="12"/>
        <v>#N/A</v>
      </c>
      <c r="B301" s="3" t="e">
        <f t="shared" si="13"/>
        <v>#N/A</v>
      </c>
      <c r="C301" s="3" t="e">
        <f t="shared" si="14"/>
        <v>#N/A</v>
      </c>
    </row>
    <row r="302" spans="1:3" x14ac:dyDescent="0.2">
      <c r="A302" s="2" t="e">
        <f t="shared" si="12"/>
        <v>#N/A</v>
      </c>
      <c r="B302" s="2" t="e">
        <f t="shared" si="13"/>
        <v>#N/A</v>
      </c>
      <c r="C302" s="2" t="e">
        <f t="shared" si="14"/>
        <v>#N/A</v>
      </c>
    </row>
    <row r="303" spans="1:3" x14ac:dyDescent="0.2">
      <c r="A303" s="3" t="e">
        <f t="shared" si="12"/>
        <v>#N/A</v>
      </c>
      <c r="B303" s="3" t="e">
        <f t="shared" si="13"/>
        <v>#N/A</v>
      </c>
      <c r="C303" s="3" t="e">
        <f t="shared" si="14"/>
        <v>#N/A</v>
      </c>
    </row>
    <row r="304" spans="1:3" x14ac:dyDescent="0.2">
      <c r="A304" s="2" t="e">
        <f t="shared" si="12"/>
        <v>#N/A</v>
      </c>
      <c r="B304" s="2" t="e">
        <f t="shared" si="13"/>
        <v>#N/A</v>
      </c>
      <c r="C304" s="2" t="e">
        <f t="shared" si="14"/>
        <v>#N/A</v>
      </c>
    </row>
    <row r="305" spans="1:3" x14ac:dyDescent="0.2">
      <c r="A305" s="3" t="e">
        <f t="shared" si="12"/>
        <v>#N/A</v>
      </c>
      <c r="B305" s="3" t="e">
        <f t="shared" si="13"/>
        <v>#N/A</v>
      </c>
      <c r="C305" s="3" t="e">
        <f t="shared" si="14"/>
        <v>#N/A</v>
      </c>
    </row>
    <row r="306" spans="1:3" x14ac:dyDescent="0.2">
      <c r="A306" s="2" t="e">
        <f t="shared" si="12"/>
        <v>#N/A</v>
      </c>
      <c r="B306" s="2" t="e">
        <f t="shared" si="13"/>
        <v>#N/A</v>
      </c>
      <c r="C306" s="2" t="e">
        <f t="shared" si="14"/>
        <v>#N/A</v>
      </c>
    </row>
    <row r="307" spans="1:3" x14ac:dyDescent="0.2">
      <c r="A307" s="3" t="e">
        <f t="shared" si="12"/>
        <v>#N/A</v>
      </c>
      <c r="B307" s="3" t="e">
        <f t="shared" si="13"/>
        <v>#N/A</v>
      </c>
      <c r="C307" s="3" t="e">
        <f t="shared" si="14"/>
        <v>#N/A</v>
      </c>
    </row>
    <row r="308" spans="1:3" x14ac:dyDescent="0.2">
      <c r="A308" s="2" t="e">
        <f t="shared" si="12"/>
        <v>#N/A</v>
      </c>
      <c r="B308" s="2" t="e">
        <f t="shared" si="13"/>
        <v>#N/A</v>
      </c>
      <c r="C308" s="2" t="e">
        <f t="shared" si="14"/>
        <v>#N/A</v>
      </c>
    </row>
    <row r="309" spans="1:3" x14ac:dyDescent="0.2">
      <c r="A309" s="3" t="e">
        <f t="shared" si="12"/>
        <v>#N/A</v>
      </c>
      <c r="B309" s="3" t="e">
        <f t="shared" si="13"/>
        <v>#N/A</v>
      </c>
      <c r="C309" s="3" t="e">
        <f t="shared" si="14"/>
        <v>#N/A</v>
      </c>
    </row>
    <row r="310" spans="1:3" x14ac:dyDescent="0.2">
      <c r="A310" s="2" t="e">
        <f t="shared" si="12"/>
        <v>#N/A</v>
      </c>
      <c r="B310" s="2" t="e">
        <f t="shared" si="13"/>
        <v>#N/A</v>
      </c>
      <c r="C310" s="2" t="e">
        <f t="shared" si="14"/>
        <v>#N/A</v>
      </c>
    </row>
    <row r="311" spans="1:3" x14ac:dyDescent="0.2">
      <c r="A311" s="3" t="e">
        <f t="shared" si="12"/>
        <v>#N/A</v>
      </c>
      <c r="B311" s="3" t="e">
        <f t="shared" si="13"/>
        <v>#N/A</v>
      </c>
      <c r="C311" s="3" t="e">
        <f t="shared" si="14"/>
        <v>#N/A</v>
      </c>
    </row>
    <row r="312" spans="1:3" x14ac:dyDescent="0.2">
      <c r="A312" s="2" t="e">
        <f t="shared" si="12"/>
        <v>#N/A</v>
      </c>
      <c r="B312" s="2" t="e">
        <f t="shared" si="13"/>
        <v>#N/A</v>
      </c>
      <c r="C312" s="2" t="e">
        <f t="shared" si="14"/>
        <v>#N/A</v>
      </c>
    </row>
    <row r="313" spans="1:3" x14ac:dyDescent="0.2">
      <c r="A313" s="3" t="e">
        <f t="shared" si="12"/>
        <v>#N/A</v>
      </c>
      <c r="B313" s="3" t="e">
        <f t="shared" si="13"/>
        <v>#N/A</v>
      </c>
      <c r="C313" s="3" t="e">
        <f t="shared" si="14"/>
        <v>#N/A</v>
      </c>
    </row>
    <row r="314" spans="1:3" x14ac:dyDescent="0.2">
      <c r="A314" s="2" t="e">
        <f t="shared" si="12"/>
        <v>#N/A</v>
      </c>
      <c r="B314" s="2" t="e">
        <f t="shared" si="13"/>
        <v>#N/A</v>
      </c>
      <c r="C314" s="2" t="e">
        <f t="shared" si="14"/>
        <v>#N/A</v>
      </c>
    </row>
    <row r="315" spans="1:3" x14ac:dyDescent="0.2">
      <c r="A315" s="3" t="e">
        <f t="shared" si="12"/>
        <v>#N/A</v>
      </c>
      <c r="B315" s="3" t="e">
        <f t="shared" si="13"/>
        <v>#N/A</v>
      </c>
      <c r="C315" s="3" t="e">
        <f t="shared" si="14"/>
        <v>#N/A</v>
      </c>
    </row>
    <row r="316" spans="1:3" x14ac:dyDescent="0.2">
      <c r="A316" s="2" t="e">
        <f t="shared" si="12"/>
        <v>#N/A</v>
      </c>
      <c r="B316" s="2" t="e">
        <f t="shared" si="13"/>
        <v>#N/A</v>
      </c>
      <c r="C316" s="2" t="e">
        <f t="shared" si="14"/>
        <v>#N/A</v>
      </c>
    </row>
    <row r="317" spans="1:3" x14ac:dyDescent="0.2">
      <c r="A317" s="3" t="e">
        <f t="shared" si="12"/>
        <v>#N/A</v>
      </c>
      <c r="B317" s="3" t="e">
        <f t="shared" si="13"/>
        <v>#N/A</v>
      </c>
      <c r="C317" s="3" t="e">
        <f t="shared" si="14"/>
        <v>#N/A</v>
      </c>
    </row>
    <row r="318" spans="1:3" x14ac:dyDescent="0.2">
      <c r="A318" s="2" t="e">
        <f t="shared" si="12"/>
        <v>#N/A</v>
      </c>
      <c r="B318" s="2" t="e">
        <f t="shared" si="13"/>
        <v>#N/A</v>
      </c>
      <c r="C318" s="2" t="e">
        <f t="shared" si="14"/>
        <v>#N/A</v>
      </c>
    </row>
    <row r="319" spans="1:3" x14ac:dyDescent="0.2">
      <c r="A319" s="3" t="e">
        <f t="shared" si="12"/>
        <v>#N/A</v>
      </c>
      <c r="B319" s="3" t="e">
        <f t="shared" si="13"/>
        <v>#N/A</v>
      </c>
      <c r="C319" s="3" t="e">
        <f t="shared" si="14"/>
        <v>#N/A</v>
      </c>
    </row>
    <row r="320" spans="1:3" x14ac:dyDescent="0.2">
      <c r="A320" s="2" t="e">
        <f t="shared" si="12"/>
        <v>#N/A</v>
      </c>
      <c r="B320" s="2" t="e">
        <f t="shared" si="13"/>
        <v>#N/A</v>
      </c>
      <c r="C320" s="2" t="e">
        <f t="shared" si="14"/>
        <v>#N/A</v>
      </c>
    </row>
    <row r="321" spans="1:3" x14ac:dyDescent="0.2">
      <c r="A321" s="3" t="e">
        <f t="shared" si="12"/>
        <v>#N/A</v>
      </c>
      <c r="B321" s="3" t="e">
        <f t="shared" si="13"/>
        <v>#N/A</v>
      </c>
      <c r="C321" s="3" t="e">
        <f t="shared" si="14"/>
        <v>#N/A</v>
      </c>
    </row>
    <row r="322" spans="1:3" x14ac:dyDescent="0.2">
      <c r="A322" s="2" t="e">
        <f t="shared" si="12"/>
        <v>#N/A</v>
      </c>
      <c r="B322" s="2" t="e">
        <f t="shared" si="13"/>
        <v>#N/A</v>
      </c>
      <c r="C322" s="2" t="e">
        <f t="shared" si="14"/>
        <v>#N/A</v>
      </c>
    </row>
    <row r="323" spans="1:3" x14ac:dyDescent="0.2">
      <c r="A323" s="3" t="e">
        <f t="shared" si="12"/>
        <v>#N/A</v>
      </c>
      <c r="B323" s="3" t="e">
        <f t="shared" si="13"/>
        <v>#N/A</v>
      </c>
      <c r="C323" s="3" t="e">
        <f t="shared" si="14"/>
        <v>#N/A</v>
      </c>
    </row>
    <row r="324" spans="1:3" x14ac:dyDescent="0.2">
      <c r="A324" s="2" t="e">
        <f t="shared" si="12"/>
        <v>#N/A</v>
      </c>
      <c r="B324" s="2" t="e">
        <f t="shared" si="13"/>
        <v>#N/A</v>
      </c>
      <c r="C324" s="2" t="e">
        <f t="shared" si="14"/>
        <v>#N/A</v>
      </c>
    </row>
    <row r="325" spans="1:3" x14ac:dyDescent="0.2">
      <c r="A325" s="3" t="e">
        <f t="shared" ref="A325:A388" si="15">IF(ISNA(A324), NA(), IF(A324 + $H$6 &lt;= $H$7 + 0.000000001, A324 + $H$6, NA()))</f>
        <v>#N/A</v>
      </c>
      <c r="B325" s="3" t="e">
        <f t="shared" ref="B325:B388" si="16">IF(ISNA(A325), NA(), $H$4 * EXP($H$5 * A325))</f>
        <v>#N/A</v>
      </c>
      <c r="C325" s="3" t="e">
        <f t="shared" ref="C325:C388" si="17">IF(ISNA(A325), NA(), C324 + $H$5 * C324 * $H$6)</f>
        <v>#N/A</v>
      </c>
    </row>
    <row r="326" spans="1:3" x14ac:dyDescent="0.2">
      <c r="A326" s="2" t="e">
        <f t="shared" si="15"/>
        <v>#N/A</v>
      </c>
      <c r="B326" s="2" t="e">
        <f t="shared" si="16"/>
        <v>#N/A</v>
      </c>
      <c r="C326" s="2" t="e">
        <f t="shared" si="17"/>
        <v>#N/A</v>
      </c>
    </row>
    <row r="327" spans="1:3" x14ac:dyDescent="0.2">
      <c r="A327" s="3" t="e">
        <f t="shared" si="15"/>
        <v>#N/A</v>
      </c>
      <c r="B327" s="3" t="e">
        <f t="shared" si="16"/>
        <v>#N/A</v>
      </c>
      <c r="C327" s="3" t="e">
        <f t="shared" si="17"/>
        <v>#N/A</v>
      </c>
    </row>
    <row r="328" spans="1:3" x14ac:dyDescent="0.2">
      <c r="A328" s="2" t="e">
        <f t="shared" si="15"/>
        <v>#N/A</v>
      </c>
      <c r="B328" s="2" t="e">
        <f t="shared" si="16"/>
        <v>#N/A</v>
      </c>
      <c r="C328" s="2" t="e">
        <f t="shared" si="17"/>
        <v>#N/A</v>
      </c>
    </row>
    <row r="329" spans="1:3" x14ac:dyDescent="0.2">
      <c r="A329" s="3" t="e">
        <f t="shared" si="15"/>
        <v>#N/A</v>
      </c>
      <c r="B329" s="3" t="e">
        <f t="shared" si="16"/>
        <v>#N/A</v>
      </c>
      <c r="C329" s="3" t="e">
        <f t="shared" si="17"/>
        <v>#N/A</v>
      </c>
    </row>
    <row r="330" spans="1:3" x14ac:dyDescent="0.2">
      <c r="A330" s="2" t="e">
        <f t="shared" si="15"/>
        <v>#N/A</v>
      </c>
      <c r="B330" s="2" t="e">
        <f t="shared" si="16"/>
        <v>#N/A</v>
      </c>
      <c r="C330" s="2" t="e">
        <f t="shared" si="17"/>
        <v>#N/A</v>
      </c>
    </row>
    <row r="331" spans="1:3" x14ac:dyDescent="0.2">
      <c r="A331" s="3" t="e">
        <f t="shared" si="15"/>
        <v>#N/A</v>
      </c>
      <c r="B331" s="3" t="e">
        <f t="shared" si="16"/>
        <v>#N/A</v>
      </c>
      <c r="C331" s="3" t="e">
        <f t="shared" si="17"/>
        <v>#N/A</v>
      </c>
    </row>
    <row r="332" spans="1:3" x14ac:dyDescent="0.2">
      <c r="A332" s="2" t="e">
        <f t="shared" si="15"/>
        <v>#N/A</v>
      </c>
      <c r="B332" s="2" t="e">
        <f t="shared" si="16"/>
        <v>#N/A</v>
      </c>
      <c r="C332" s="2" t="e">
        <f t="shared" si="17"/>
        <v>#N/A</v>
      </c>
    </row>
    <row r="333" spans="1:3" x14ac:dyDescent="0.2">
      <c r="A333" s="3" t="e">
        <f t="shared" si="15"/>
        <v>#N/A</v>
      </c>
      <c r="B333" s="3" t="e">
        <f t="shared" si="16"/>
        <v>#N/A</v>
      </c>
      <c r="C333" s="3" t="e">
        <f t="shared" si="17"/>
        <v>#N/A</v>
      </c>
    </row>
    <row r="334" spans="1:3" x14ac:dyDescent="0.2">
      <c r="A334" s="2" t="e">
        <f t="shared" si="15"/>
        <v>#N/A</v>
      </c>
      <c r="B334" s="2" t="e">
        <f t="shared" si="16"/>
        <v>#N/A</v>
      </c>
      <c r="C334" s="2" t="e">
        <f t="shared" si="17"/>
        <v>#N/A</v>
      </c>
    </row>
    <row r="335" spans="1:3" x14ac:dyDescent="0.2">
      <c r="A335" s="3" t="e">
        <f t="shared" si="15"/>
        <v>#N/A</v>
      </c>
      <c r="B335" s="3" t="e">
        <f t="shared" si="16"/>
        <v>#N/A</v>
      </c>
      <c r="C335" s="3" t="e">
        <f t="shared" si="17"/>
        <v>#N/A</v>
      </c>
    </row>
    <row r="336" spans="1:3" x14ac:dyDescent="0.2">
      <c r="A336" s="2" t="e">
        <f t="shared" si="15"/>
        <v>#N/A</v>
      </c>
      <c r="B336" s="2" t="e">
        <f t="shared" si="16"/>
        <v>#N/A</v>
      </c>
      <c r="C336" s="2" t="e">
        <f t="shared" si="17"/>
        <v>#N/A</v>
      </c>
    </row>
    <row r="337" spans="1:3" x14ac:dyDescent="0.2">
      <c r="A337" s="3" t="e">
        <f t="shared" si="15"/>
        <v>#N/A</v>
      </c>
      <c r="B337" s="3" t="e">
        <f t="shared" si="16"/>
        <v>#N/A</v>
      </c>
      <c r="C337" s="3" t="e">
        <f t="shared" si="17"/>
        <v>#N/A</v>
      </c>
    </row>
    <row r="338" spans="1:3" x14ac:dyDescent="0.2">
      <c r="A338" s="2" t="e">
        <f t="shared" si="15"/>
        <v>#N/A</v>
      </c>
      <c r="B338" s="2" t="e">
        <f t="shared" si="16"/>
        <v>#N/A</v>
      </c>
      <c r="C338" s="2" t="e">
        <f t="shared" si="17"/>
        <v>#N/A</v>
      </c>
    </row>
    <row r="339" spans="1:3" x14ac:dyDescent="0.2">
      <c r="A339" s="3" t="e">
        <f t="shared" si="15"/>
        <v>#N/A</v>
      </c>
      <c r="B339" s="3" t="e">
        <f t="shared" si="16"/>
        <v>#N/A</v>
      </c>
      <c r="C339" s="3" t="e">
        <f t="shared" si="17"/>
        <v>#N/A</v>
      </c>
    </row>
    <row r="340" spans="1:3" x14ac:dyDescent="0.2">
      <c r="A340" s="2" t="e">
        <f t="shared" si="15"/>
        <v>#N/A</v>
      </c>
      <c r="B340" s="2" t="e">
        <f t="shared" si="16"/>
        <v>#N/A</v>
      </c>
      <c r="C340" s="2" t="e">
        <f t="shared" si="17"/>
        <v>#N/A</v>
      </c>
    </row>
    <row r="341" spans="1:3" x14ac:dyDescent="0.2">
      <c r="A341" s="3" t="e">
        <f t="shared" si="15"/>
        <v>#N/A</v>
      </c>
      <c r="B341" s="3" t="e">
        <f t="shared" si="16"/>
        <v>#N/A</v>
      </c>
      <c r="C341" s="3" t="e">
        <f t="shared" si="17"/>
        <v>#N/A</v>
      </c>
    </row>
    <row r="342" spans="1:3" x14ac:dyDescent="0.2">
      <c r="A342" s="2" t="e">
        <f t="shared" si="15"/>
        <v>#N/A</v>
      </c>
      <c r="B342" s="2" t="e">
        <f t="shared" si="16"/>
        <v>#N/A</v>
      </c>
      <c r="C342" s="2" t="e">
        <f t="shared" si="17"/>
        <v>#N/A</v>
      </c>
    </row>
    <row r="343" spans="1:3" x14ac:dyDescent="0.2">
      <c r="A343" s="3" t="e">
        <f t="shared" si="15"/>
        <v>#N/A</v>
      </c>
      <c r="B343" s="3" t="e">
        <f t="shared" si="16"/>
        <v>#N/A</v>
      </c>
      <c r="C343" s="3" t="e">
        <f t="shared" si="17"/>
        <v>#N/A</v>
      </c>
    </row>
    <row r="344" spans="1:3" x14ac:dyDescent="0.2">
      <c r="A344" s="2" t="e">
        <f t="shared" si="15"/>
        <v>#N/A</v>
      </c>
      <c r="B344" s="2" t="e">
        <f t="shared" si="16"/>
        <v>#N/A</v>
      </c>
      <c r="C344" s="2" t="e">
        <f t="shared" si="17"/>
        <v>#N/A</v>
      </c>
    </row>
    <row r="345" spans="1:3" x14ac:dyDescent="0.2">
      <c r="A345" s="3" t="e">
        <f t="shared" si="15"/>
        <v>#N/A</v>
      </c>
      <c r="B345" s="3" t="e">
        <f t="shared" si="16"/>
        <v>#N/A</v>
      </c>
      <c r="C345" s="3" t="e">
        <f t="shared" si="17"/>
        <v>#N/A</v>
      </c>
    </row>
    <row r="346" spans="1:3" x14ac:dyDescent="0.2">
      <c r="A346" s="2" t="e">
        <f t="shared" si="15"/>
        <v>#N/A</v>
      </c>
      <c r="B346" s="2" t="e">
        <f t="shared" si="16"/>
        <v>#N/A</v>
      </c>
      <c r="C346" s="2" t="e">
        <f t="shared" si="17"/>
        <v>#N/A</v>
      </c>
    </row>
    <row r="347" spans="1:3" x14ac:dyDescent="0.2">
      <c r="A347" s="3" t="e">
        <f t="shared" si="15"/>
        <v>#N/A</v>
      </c>
      <c r="B347" s="3" t="e">
        <f t="shared" si="16"/>
        <v>#N/A</v>
      </c>
      <c r="C347" s="3" t="e">
        <f t="shared" si="17"/>
        <v>#N/A</v>
      </c>
    </row>
    <row r="348" spans="1:3" x14ac:dyDescent="0.2">
      <c r="A348" s="2" t="e">
        <f t="shared" si="15"/>
        <v>#N/A</v>
      </c>
      <c r="B348" s="2" t="e">
        <f t="shared" si="16"/>
        <v>#N/A</v>
      </c>
      <c r="C348" s="2" t="e">
        <f t="shared" si="17"/>
        <v>#N/A</v>
      </c>
    </row>
    <row r="349" spans="1:3" x14ac:dyDescent="0.2">
      <c r="A349" s="3" t="e">
        <f t="shared" si="15"/>
        <v>#N/A</v>
      </c>
      <c r="B349" s="3" t="e">
        <f t="shared" si="16"/>
        <v>#N/A</v>
      </c>
      <c r="C349" s="3" t="e">
        <f t="shared" si="17"/>
        <v>#N/A</v>
      </c>
    </row>
    <row r="350" spans="1:3" x14ac:dyDescent="0.2">
      <c r="A350" s="2" t="e">
        <f t="shared" si="15"/>
        <v>#N/A</v>
      </c>
      <c r="B350" s="2" t="e">
        <f t="shared" si="16"/>
        <v>#N/A</v>
      </c>
      <c r="C350" s="2" t="e">
        <f t="shared" si="17"/>
        <v>#N/A</v>
      </c>
    </row>
    <row r="351" spans="1:3" x14ac:dyDescent="0.2">
      <c r="A351" s="3" t="e">
        <f t="shared" si="15"/>
        <v>#N/A</v>
      </c>
      <c r="B351" s="3" t="e">
        <f t="shared" si="16"/>
        <v>#N/A</v>
      </c>
      <c r="C351" s="3" t="e">
        <f t="shared" si="17"/>
        <v>#N/A</v>
      </c>
    </row>
    <row r="352" spans="1:3" x14ac:dyDescent="0.2">
      <c r="A352" s="2" t="e">
        <f t="shared" si="15"/>
        <v>#N/A</v>
      </c>
      <c r="B352" s="2" t="e">
        <f t="shared" si="16"/>
        <v>#N/A</v>
      </c>
      <c r="C352" s="2" t="e">
        <f t="shared" si="17"/>
        <v>#N/A</v>
      </c>
    </row>
    <row r="353" spans="1:3" x14ac:dyDescent="0.2">
      <c r="A353" s="3" t="e">
        <f t="shared" si="15"/>
        <v>#N/A</v>
      </c>
      <c r="B353" s="3" t="e">
        <f t="shared" si="16"/>
        <v>#N/A</v>
      </c>
      <c r="C353" s="3" t="e">
        <f t="shared" si="17"/>
        <v>#N/A</v>
      </c>
    </row>
    <row r="354" spans="1:3" x14ac:dyDescent="0.2">
      <c r="A354" s="2" t="e">
        <f t="shared" si="15"/>
        <v>#N/A</v>
      </c>
      <c r="B354" s="2" t="e">
        <f t="shared" si="16"/>
        <v>#N/A</v>
      </c>
      <c r="C354" s="2" t="e">
        <f t="shared" si="17"/>
        <v>#N/A</v>
      </c>
    </row>
    <row r="355" spans="1:3" x14ac:dyDescent="0.2">
      <c r="A355" s="3" t="e">
        <f t="shared" si="15"/>
        <v>#N/A</v>
      </c>
      <c r="B355" s="3" t="e">
        <f t="shared" si="16"/>
        <v>#N/A</v>
      </c>
      <c r="C355" s="3" t="e">
        <f t="shared" si="17"/>
        <v>#N/A</v>
      </c>
    </row>
    <row r="356" spans="1:3" x14ac:dyDescent="0.2">
      <c r="A356" s="2" t="e">
        <f t="shared" si="15"/>
        <v>#N/A</v>
      </c>
      <c r="B356" s="2" t="e">
        <f t="shared" si="16"/>
        <v>#N/A</v>
      </c>
      <c r="C356" s="2" t="e">
        <f t="shared" si="17"/>
        <v>#N/A</v>
      </c>
    </row>
    <row r="357" spans="1:3" x14ac:dyDescent="0.2">
      <c r="A357" s="3" t="e">
        <f t="shared" si="15"/>
        <v>#N/A</v>
      </c>
      <c r="B357" s="3" t="e">
        <f t="shared" si="16"/>
        <v>#N/A</v>
      </c>
      <c r="C357" s="3" t="e">
        <f t="shared" si="17"/>
        <v>#N/A</v>
      </c>
    </row>
    <row r="358" spans="1:3" x14ac:dyDescent="0.2">
      <c r="A358" s="2" t="e">
        <f t="shared" si="15"/>
        <v>#N/A</v>
      </c>
      <c r="B358" s="2" t="e">
        <f t="shared" si="16"/>
        <v>#N/A</v>
      </c>
      <c r="C358" s="2" t="e">
        <f t="shared" si="17"/>
        <v>#N/A</v>
      </c>
    </row>
    <row r="359" spans="1:3" x14ac:dyDescent="0.2">
      <c r="A359" s="3" t="e">
        <f t="shared" si="15"/>
        <v>#N/A</v>
      </c>
      <c r="B359" s="3" t="e">
        <f t="shared" si="16"/>
        <v>#N/A</v>
      </c>
      <c r="C359" s="3" t="e">
        <f t="shared" si="17"/>
        <v>#N/A</v>
      </c>
    </row>
    <row r="360" spans="1:3" x14ac:dyDescent="0.2">
      <c r="A360" s="2" t="e">
        <f t="shared" si="15"/>
        <v>#N/A</v>
      </c>
      <c r="B360" s="2" t="e">
        <f t="shared" si="16"/>
        <v>#N/A</v>
      </c>
      <c r="C360" s="2" t="e">
        <f t="shared" si="17"/>
        <v>#N/A</v>
      </c>
    </row>
    <row r="361" spans="1:3" x14ac:dyDescent="0.2">
      <c r="A361" s="3" t="e">
        <f t="shared" si="15"/>
        <v>#N/A</v>
      </c>
      <c r="B361" s="3" t="e">
        <f t="shared" si="16"/>
        <v>#N/A</v>
      </c>
      <c r="C361" s="3" t="e">
        <f t="shared" si="17"/>
        <v>#N/A</v>
      </c>
    </row>
    <row r="362" spans="1:3" x14ac:dyDescent="0.2">
      <c r="A362" s="2" t="e">
        <f t="shared" si="15"/>
        <v>#N/A</v>
      </c>
      <c r="B362" s="2" t="e">
        <f t="shared" si="16"/>
        <v>#N/A</v>
      </c>
      <c r="C362" s="2" t="e">
        <f t="shared" si="17"/>
        <v>#N/A</v>
      </c>
    </row>
    <row r="363" spans="1:3" x14ac:dyDescent="0.2">
      <c r="A363" s="3" t="e">
        <f t="shared" si="15"/>
        <v>#N/A</v>
      </c>
      <c r="B363" s="3" t="e">
        <f t="shared" si="16"/>
        <v>#N/A</v>
      </c>
      <c r="C363" s="3" t="e">
        <f t="shared" si="17"/>
        <v>#N/A</v>
      </c>
    </row>
    <row r="364" spans="1:3" x14ac:dyDescent="0.2">
      <c r="A364" s="2" t="e">
        <f t="shared" si="15"/>
        <v>#N/A</v>
      </c>
      <c r="B364" s="2" t="e">
        <f t="shared" si="16"/>
        <v>#N/A</v>
      </c>
      <c r="C364" s="2" t="e">
        <f t="shared" si="17"/>
        <v>#N/A</v>
      </c>
    </row>
    <row r="365" spans="1:3" x14ac:dyDescent="0.2">
      <c r="A365" s="3" t="e">
        <f t="shared" si="15"/>
        <v>#N/A</v>
      </c>
      <c r="B365" s="3" t="e">
        <f t="shared" si="16"/>
        <v>#N/A</v>
      </c>
      <c r="C365" s="3" t="e">
        <f t="shared" si="17"/>
        <v>#N/A</v>
      </c>
    </row>
    <row r="366" spans="1:3" x14ac:dyDescent="0.2">
      <c r="A366" s="2" t="e">
        <f t="shared" si="15"/>
        <v>#N/A</v>
      </c>
      <c r="B366" s="2" t="e">
        <f t="shared" si="16"/>
        <v>#N/A</v>
      </c>
      <c r="C366" s="2" t="e">
        <f t="shared" si="17"/>
        <v>#N/A</v>
      </c>
    </row>
    <row r="367" spans="1:3" x14ac:dyDescent="0.2">
      <c r="A367" s="3" t="e">
        <f t="shared" si="15"/>
        <v>#N/A</v>
      </c>
      <c r="B367" s="3" t="e">
        <f t="shared" si="16"/>
        <v>#N/A</v>
      </c>
      <c r="C367" s="3" t="e">
        <f t="shared" si="17"/>
        <v>#N/A</v>
      </c>
    </row>
    <row r="368" spans="1:3" x14ac:dyDescent="0.2">
      <c r="A368" s="2" t="e">
        <f t="shared" si="15"/>
        <v>#N/A</v>
      </c>
      <c r="B368" s="2" t="e">
        <f t="shared" si="16"/>
        <v>#N/A</v>
      </c>
      <c r="C368" s="2" t="e">
        <f t="shared" si="17"/>
        <v>#N/A</v>
      </c>
    </row>
    <row r="369" spans="1:3" x14ac:dyDescent="0.2">
      <c r="A369" s="3" t="e">
        <f t="shared" si="15"/>
        <v>#N/A</v>
      </c>
      <c r="B369" s="3" t="e">
        <f t="shared" si="16"/>
        <v>#N/A</v>
      </c>
      <c r="C369" s="3" t="e">
        <f t="shared" si="17"/>
        <v>#N/A</v>
      </c>
    </row>
    <row r="370" spans="1:3" x14ac:dyDescent="0.2">
      <c r="A370" s="2" t="e">
        <f t="shared" si="15"/>
        <v>#N/A</v>
      </c>
      <c r="B370" s="2" t="e">
        <f t="shared" si="16"/>
        <v>#N/A</v>
      </c>
      <c r="C370" s="2" t="e">
        <f t="shared" si="17"/>
        <v>#N/A</v>
      </c>
    </row>
    <row r="371" spans="1:3" x14ac:dyDescent="0.2">
      <c r="A371" s="3" t="e">
        <f t="shared" si="15"/>
        <v>#N/A</v>
      </c>
      <c r="B371" s="3" t="e">
        <f t="shared" si="16"/>
        <v>#N/A</v>
      </c>
      <c r="C371" s="3" t="e">
        <f t="shared" si="17"/>
        <v>#N/A</v>
      </c>
    </row>
    <row r="372" spans="1:3" x14ac:dyDescent="0.2">
      <c r="A372" s="2" t="e">
        <f t="shared" si="15"/>
        <v>#N/A</v>
      </c>
      <c r="B372" s="2" t="e">
        <f t="shared" si="16"/>
        <v>#N/A</v>
      </c>
      <c r="C372" s="2" t="e">
        <f t="shared" si="17"/>
        <v>#N/A</v>
      </c>
    </row>
    <row r="373" spans="1:3" x14ac:dyDescent="0.2">
      <c r="A373" s="3" t="e">
        <f t="shared" si="15"/>
        <v>#N/A</v>
      </c>
      <c r="B373" s="3" t="e">
        <f t="shared" si="16"/>
        <v>#N/A</v>
      </c>
      <c r="C373" s="3" t="e">
        <f t="shared" si="17"/>
        <v>#N/A</v>
      </c>
    </row>
    <row r="374" spans="1:3" x14ac:dyDescent="0.2">
      <c r="A374" s="2" t="e">
        <f t="shared" si="15"/>
        <v>#N/A</v>
      </c>
      <c r="B374" s="2" t="e">
        <f t="shared" si="16"/>
        <v>#N/A</v>
      </c>
      <c r="C374" s="2" t="e">
        <f t="shared" si="17"/>
        <v>#N/A</v>
      </c>
    </row>
    <row r="375" spans="1:3" x14ac:dyDescent="0.2">
      <c r="A375" s="3" t="e">
        <f t="shared" si="15"/>
        <v>#N/A</v>
      </c>
      <c r="B375" s="3" t="e">
        <f t="shared" si="16"/>
        <v>#N/A</v>
      </c>
      <c r="C375" s="3" t="e">
        <f t="shared" si="17"/>
        <v>#N/A</v>
      </c>
    </row>
    <row r="376" spans="1:3" x14ac:dyDescent="0.2">
      <c r="A376" s="2" t="e">
        <f t="shared" si="15"/>
        <v>#N/A</v>
      </c>
      <c r="B376" s="2" t="e">
        <f t="shared" si="16"/>
        <v>#N/A</v>
      </c>
      <c r="C376" s="2" t="e">
        <f t="shared" si="17"/>
        <v>#N/A</v>
      </c>
    </row>
    <row r="377" spans="1:3" x14ac:dyDescent="0.2">
      <c r="A377" s="3" t="e">
        <f t="shared" si="15"/>
        <v>#N/A</v>
      </c>
      <c r="B377" s="3" t="e">
        <f t="shared" si="16"/>
        <v>#N/A</v>
      </c>
      <c r="C377" s="3" t="e">
        <f t="shared" si="17"/>
        <v>#N/A</v>
      </c>
    </row>
    <row r="378" spans="1:3" x14ac:dyDescent="0.2">
      <c r="A378" s="2" t="e">
        <f t="shared" si="15"/>
        <v>#N/A</v>
      </c>
      <c r="B378" s="2" t="e">
        <f t="shared" si="16"/>
        <v>#N/A</v>
      </c>
      <c r="C378" s="2" t="e">
        <f t="shared" si="17"/>
        <v>#N/A</v>
      </c>
    </row>
    <row r="379" spans="1:3" x14ac:dyDescent="0.2">
      <c r="A379" s="3" t="e">
        <f t="shared" si="15"/>
        <v>#N/A</v>
      </c>
      <c r="B379" s="3" t="e">
        <f t="shared" si="16"/>
        <v>#N/A</v>
      </c>
      <c r="C379" s="3" t="e">
        <f t="shared" si="17"/>
        <v>#N/A</v>
      </c>
    </row>
    <row r="380" spans="1:3" x14ac:dyDescent="0.2">
      <c r="A380" s="2" t="e">
        <f t="shared" si="15"/>
        <v>#N/A</v>
      </c>
      <c r="B380" s="2" t="e">
        <f t="shared" si="16"/>
        <v>#N/A</v>
      </c>
      <c r="C380" s="2" t="e">
        <f t="shared" si="17"/>
        <v>#N/A</v>
      </c>
    </row>
    <row r="381" spans="1:3" x14ac:dyDescent="0.2">
      <c r="A381" s="3" t="e">
        <f t="shared" si="15"/>
        <v>#N/A</v>
      </c>
      <c r="B381" s="3" t="e">
        <f t="shared" si="16"/>
        <v>#N/A</v>
      </c>
      <c r="C381" s="3" t="e">
        <f t="shared" si="17"/>
        <v>#N/A</v>
      </c>
    </row>
    <row r="382" spans="1:3" x14ac:dyDescent="0.2">
      <c r="A382" s="2" t="e">
        <f t="shared" si="15"/>
        <v>#N/A</v>
      </c>
      <c r="B382" s="2" t="e">
        <f t="shared" si="16"/>
        <v>#N/A</v>
      </c>
      <c r="C382" s="2" t="e">
        <f t="shared" si="17"/>
        <v>#N/A</v>
      </c>
    </row>
    <row r="383" spans="1:3" x14ac:dyDescent="0.2">
      <c r="A383" s="3" t="e">
        <f t="shared" si="15"/>
        <v>#N/A</v>
      </c>
      <c r="B383" s="3" t="e">
        <f t="shared" si="16"/>
        <v>#N/A</v>
      </c>
      <c r="C383" s="3" t="e">
        <f t="shared" si="17"/>
        <v>#N/A</v>
      </c>
    </row>
    <row r="384" spans="1:3" x14ac:dyDescent="0.2">
      <c r="A384" s="2" t="e">
        <f t="shared" si="15"/>
        <v>#N/A</v>
      </c>
      <c r="B384" s="2" t="e">
        <f t="shared" si="16"/>
        <v>#N/A</v>
      </c>
      <c r="C384" s="2" t="e">
        <f t="shared" si="17"/>
        <v>#N/A</v>
      </c>
    </row>
    <row r="385" spans="1:3" x14ac:dyDescent="0.2">
      <c r="A385" s="3" t="e">
        <f t="shared" si="15"/>
        <v>#N/A</v>
      </c>
      <c r="B385" s="3" t="e">
        <f t="shared" si="16"/>
        <v>#N/A</v>
      </c>
      <c r="C385" s="3" t="e">
        <f t="shared" si="17"/>
        <v>#N/A</v>
      </c>
    </row>
    <row r="386" spans="1:3" x14ac:dyDescent="0.2">
      <c r="A386" s="2" t="e">
        <f t="shared" si="15"/>
        <v>#N/A</v>
      </c>
      <c r="B386" s="2" t="e">
        <f t="shared" si="16"/>
        <v>#N/A</v>
      </c>
      <c r="C386" s="2" t="e">
        <f t="shared" si="17"/>
        <v>#N/A</v>
      </c>
    </row>
    <row r="387" spans="1:3" x14ac:dyDescent="0.2">
      <c r="A387" s="3" t="e">
        <f t="shared" si="15"/>
        <v>#N/A</v>
      </c>
      <c r="B387" s="3" t="e">
        <f t="shared" si="16"/>
        <v>#N/A</v>
      </c>
      <c r="C387" s="3" t="e">
        <f t="shared" si="17"/>
        <v>#N/A</v>
      </c>
    </row>
    <row r="388" spans="1:3" x14ac:dyDescent="0.2">
      <c r="A388" s="2" t="e">
        <f t="shared" si="15"/>
        <v>#N/A</v>
      </c>
      <c r="B388" s="2" t="e">
        <f t="shared" si="16"/>
        <v>#N/A</v>
      </c>
      <c r="C388" s="2" t="e">
        <f t="shared" si="17"/>
        <v>#N/A</v>
      </c>
    </row>
    <row r="389" spans="1:3" x14ac:dyDescent="0.2">
      <c r="A389" s="3" t="e">
        <f t="shared" ref="A389:A452" si="18">IF(ISNA(A388), NA(), IF(A388 + $H$6 &lt;= $H$7 + 0.000000001, A388 + $H$6, NA()))</f>
        <v>#N/A</v>
      </c>
      <c r="B389" s="3" t="e">
        <f t="shared" ref="B389:B452" si="19">IF(ISNA(A389), NA(), $H$4 * EXP($H$5 * A389))</f>
        <v>#N/A</v>
      </c>
      <c r="C389" s="3" t="e">
        <f t="shared" ref="C389:C452" si="20">IF(ISNA(A389), NA(), C388 + $H$5 * C388 * $H$6)</f>
        <v>#N/A</v>
      </c>
    </row>
    <row r="390" spans="1:3" x14ac:dyDescent="0.2">
      <c r="A390" s="2" t="e">
        <f t="shared" si="18"/>
        <v>#N/A</v>
      </c>
      <c r="B390" s="2" t="e">
        <f t="shared" si="19"/>
        <v>#N/A</v>
      </c>
      <c r="C390" s="2" t="e">
        <f t="shared" si="20"/>
        <v>#N/A</v>
      </c>
    </row>
    <row r="391" spans="1:3" x14ac:dyDescent="0.2">
      <c r="A391" s="3" t="e">
        <f t="shared" si="18"/>
        <v>#N/A</v>
      </c>
      <c r="B391" s="3" t="e">
        <f t="shared" si="19"/>
        <v>#N/A</v>
      </c>
      <c r="C391" s="3" t="e">
        <f t="shared" si="20"/>
        <v>#N/A</v>
      </c>
    </row>
    <row r="392" spans="1:3" x14ac:dyDescent="0.2">
      <c r="A392" s="2" t="e">
        <f t="shared" si="18"/>
        <v>#N/A</v>
      </c>
      <c r="B392" s="2" t="e">
        <f t="shared" si="19"/>
        <v>#N/A</v>
      </c>
      <c r="C392" s="2" t="e">
        <f t="shared" si="20"/>
        <v>#N/A</v>
      </c>
    </row>
    <row r="393" spans="1:3" x14ac:dyDescent="0.2">
      <c r="A393" s="3" t="e">
        <f t="shared" si="18"/>
        <v>#N/A</v>
      </c>
      <c r="B393" s="3" t="e">
        <f t="shared" si="19"/>
        <v>#N/A</v>
      </c>
      <c r="C393" s="3" t="e">
        <f t="shared" si="20"/>
        <v>#N/A</v>
      </c>
    </row>
    <row r="394" spans="1:3" x14ac:dyDescent="0.2">
      <c r="A394" s="2" t="e">
        <f t="shared" si="18"/>
        <v>#N/A</v>
      </c>
      <c r="B394" s="2" t="e">
        <f t="shared" si="19"/>
        <v>#N/A</v>
      </c>
      <c r="C394" s="2" t="e">
        <f t="shared" si="20"/>
        <v>#N/A</v>
      </c>
    </row>
    <row r="395" spans="1:3" x14ac:dyDescent="0.2">
      <c r="A395" s="3" t="e">
        <f t="shared" si="18"/>
        <v>#N/A</v>
      </c>
      <c r="B395" s="3" t="e">
        <f t="shared" si="19"/>
        <v>#N/A</v>
      </c>
      <c r="C395" s="3" t="e">
        <f t="shared" si="20"/>
        <v>#N/A</v>
      </c>
    </row>
    <row r="396" spans="1:3" x14ac:dyDescent="0.2">
      <c r="A396" s="2" t="e">
        <f t="shared" si="18"/>
        <v>#N/A</v>
      </c>
      <c r="B396" s="2" t="e">
        <f t="shared" si="19"/>
        <v>#N/A</v>
      </c>
      <c r="C396" s="2" t="e">
        <f t="shared" si="20"/>
        <v>#N/A</v>
      </c>
    </row>
    <row r="397" spans="1:3" x14ac:dyDescent="0.2">
      <c r="A397" s="3" t="e">
        <f t="shared" si="18"/>
        <v>#N/A</v>
      </c>
      <c r="B397" s="3" t="e">
        <f t="shared" si="19"/>
        <v>#N/A</v>
      </c>
      <c r="C397" s="3" t="e">
        <f t="shared" si="20"/>
        <v>#N/A</v>
      </c>
    </row>
    <row r="398" spans="1:3" x14ac:dyDescent="0.2">
      <c r="A398" s="2" t="e">
        <f t="shared" si="18"/>
        <v>#N/A</v>
      </c>
      <c r="B398" s="2" t="e">
        <f t="shared" si="19"/>
        <v>#N/A</v>
      </c>
      <c r="C398" s="2" t="e">
        <f t="shared" si="20"/>
        <v>#N/A</v>
      </c>
    </row>
    <row r="399" spans="1:3" x14ac:dyDescent="0.2">
      <c r="A399" s="3" t="e">
        <f t="shared" si="18"/>
        <v>#N/A</v>
      </c>
      <c r="B399" s="3" t="e">
        <f t="shared" si="19"/>
        <v>#N/A</v>
      </c>
      <c r="C399" s="3" t="e">
        <f t="shared" si="20"/>
        <v>#N/A</v>
      </c>
    </row>
    <row r="400" spans="1:3" x14ac:dyDescent="0.2">
      <c r="A400" s="2" t="e">
        <f t="shared" si="18"/>
        <v>#N/A</v>
      </c>
      <c r="B400" s="2" t="e">
        <f t="shared" si="19"/>
        <v>#N/A</v>
      </c>
      <c r="C400" s="2" t="e">
        <f t="shared" si="20"/>
        <v>#N/A</v>
      </c>
    </row>
    <row r="401" spans="1:3" x14ac:dyDescent="0.2">
      <c r="A401" s="3" t="e">
        <f t="shared" si="18"/>
        <v>#N/A</v>
      </c>
      <c r="B401" s="3" t="e">
        <f t="shared" si="19"/>
        <v>#N/A</v>
      </c>
      <c r="C401" s="3" t="e">
        <f t="shared" si="20"/>
        <v>#N/A</v>
      </c>
    </row>
    <row r="402" spans="1:3" x14ac:dyDescent="0.2">
      <c r="A402" s="2" t="e">
        <f t="shared" si="18"/>
        <v>#N/A</v>
      </c>
      <c r="B402" s="2" t="e">
        <f t="shared" si="19"/>
        <v>#N/A</v>
      </c>
      <c r="C402" s="2" t="e">
        <f t="shared" si="20"/>
        <v>#N/A</v>
      </c>
    </row>
    <row r="403" spans="1:3" x14ac:dyDescent="0.2">
      <c r="A403" s="3" t="e">
        <f t="shared" si="18"/>
        <v>#N/A</v>
      </c>
      <c r="B403" s="3" t="e">
        <f t="shared" si="19"/>
        <v>#N/A</v>
      </c>
      <c r="C403" s="3" t="e">
        <f t="shared" si="20"/>
        <v>#N/A</v>
      </c>
    </row>
    <row r="404" spans="1:3" x14ac:dyDescent="0.2">
      <c r="A404" s="2" t="e">
        <f t="shared" si="18"/>
        <v>#N/A</v>
      </c>
      <c r="B404" s="2" t="e">
        <f t="shared" si="19"/>
        <v>#N/A</v>
      </c>
      <c r="C404" s="2" t="e">
        <f t="shared" si="20"/>
        <v>#N/A</v>
      </c>
    </row>
    <row r="405" spans="1:3" x14ac:dyDescent="0.2">
      <c r="A405" s="3" t="e">
        <f t="shared" si="18"/>
        <v>#N/A</v>
      </c>
      <c r="B405" s="3" t="e">
        <f t="shared" si="19"/>
        <v>#N/A</v>
      </c>
      <c r="C405" s="3" t="e">
        <f t="shared" si="20"/>
        <v>#N/A</v>
      </c>
    </row>
    <row r="406" spans="1:3" x14ac:dyDescent="0.2">
      <c r="A406" s="2" t="e">
        <f t="shared" si="18"/>
        <v>#N/A</v>
      </c>
      <c r="B406" s="2" t="e">
        <f t="shared" si="19"/>
        <v>#N/A</v>
      </c>
      <c r="C406" s="2" t="e">
        <f t="shared" si="20"/>
        <v>#N/A</v>
      </c>
    </row>
    <row r="407" spans="1:3" x14ac:dyDescent="0.2">
      <c r="A407" s="3" t="e">
        <f t="shared" si="18"/>
        <v>#N/A</v>
      </c>
      <c r="B407" s="3" t="e">
        <f t="shared" si="19"/>
        <v>#N/A</v>
      </c>
      <c r="C407" s="3" t="e">
        <f t="shared" si="20"/>
        <v>#N/A</v>
      </c>
    </row>
    <row r="408" spans="1:3" x14ac:dyDescent="0.2">
      <c r="A408" s="2" t="e">
        <f t="shared" si="18"/>
        <v>#N/A</v>
      </c>
      <c r="B408" s="2" t="e">
        <f t="shared" si="19"/>
        <v>#N/A</v>
      </c>
      <c r="C408" s="2" t="e">
        <f t="shared" si="20"/>
        <v>#N/A</v>
      </c>
    </row>
    <row r="409" spans="1:3" x14ac:dyDescent="0.2">
      <c r="A409" s="3" t="e">
        <f t="shared" si="18"/>
        <v>#N/A</v>
      </c>
      <c r="B409" s="3" t="e">
        <f t="shared" si="19"/>
        <v>#N/A</v>
      </c>
      <c r="C409" s="3" t="e">
        <f t="shared" si="20"/>
        <v>#N/A</v>
      </c>
    </row>
    <row r="410" spans="1:3" x14ac:dyDescent="0.2">
      <c r="A410" s="2" t="e">
        <f t="shared" si="18"/>
        <v>#N/A</v>
      </c>
      <c r="B410" s="2" t="e">
        <f t="shared" si="19"/>
        <v>#N/A</v>
      </c>
      <c r="C410" s="2" t="e">
        <f t="shared" si="20"/>
        <v>#N/A</v>
      </c>
    </row>
    <row r="411" spans="1:3" x14ac:dyDescent="0.2">
      <c r="A411" s="3" t="e">
        <f t="shared" si="18"/>
        <v>#N/A</v>
      </c>
      <c r="B411" s="3" t="e">
        <f t="shared" si="19"/>
        <v>#N/A</v>
      </c>
      <c r="C411" s="3" t="e">
        <f t="shared" si="20"/>
        <v>#N/A</v>
      </c>
    </row>
    <row r="412" spans="1:3" x14ac:dyDescent="0.2">
      <c r="A412" s="2" t="e">
        <f t="shared" si="18"/>
        <v>#N/A</v>
      </c>
      <c r="B412" s="2" t="e">
        <f t="shared" si="19"/>
        <v>#N/A</v>
      </c>
      <c r="C412" s="2" t="e">
        <f t="shared" si="20"/>
        <v>#N/A</v>
      </c>
    </row>
    <row r="413" spans="1:3" x14ac:dyDescent="0.2">
      <c r="A413" s="3" t="e">
        <f t="shared" si="18"/>
        <v>#N/A</v>
      </c>
      <c r="B413" s="3" t="e">
        <f t="shared" si="19"/>
        <v>#N/A</v>
      </c>
      <c r="C413" s="3" t="e">
        <f t="shared" si="20"/>
        <v>#N/A</v>
      </c>
    </row>
    <row r="414" spans="1:3" x14ac:dyDescent="0.2">
      <c r="A414" s="2" t="e">
        <f t="shared" si="18"/>
        <v>#N/A</v>
      </c>
      <c r="B414" s="2" t="e">
        <f t="shared" si="19"/>
        <v>#N/A</v>
      </c>
      <c r="C414" s="2" t="e">
        <f t="shared" si="20"/>
        <v>#N/A</v>
      </c>
    </row>
    <row r="415" spans="1:3" x14ac:dyDescent="0.2">
      <c r="A415" s="3" t="e">
        <f t="shared" si="18"/>
        <v>#N/A</v>
      </c>
      <c r="B415" s="3" t="e">
        <f t="shared" si="19"/>
        <v>#N/A</v>
      </c>
      <c r="C415" s="3" t="e">
        <f t="shared" si="20"/>
        <v>#N/A</v>
      </c>
    </row>
    <row r="416" spans="1:3" x14ac:dyDescent="0.2">
      <c r="A416" s="2" t="e">
        <f t="shared" si="18"/>
        <v>#N/A</v>
      </c>
      <c r="B416" s="2" t="e">
        <f t="shared" si="19"/>
        <v>#N/A</v>
      </c>
      <c r="C416" s="2" t="e">
        <f t="shared" si="20"/>
        <v>#N/A</v>
      </c>
    </row>
    <row r="417" spans="1:3" x14ac:dyDescent="0.2">
      <c r="A417" s="3" t="e">
        <f t="shared" si="18"/>
        <v>#N/A</v>
      </c>
      <c r="B417" s="3" t="e">
        <f t="shared" si="19"/>
        <v>#N/A</v>
      </c>
      <c r="C417" s="3" t="e">
        <f t="shared" si="20"/>
        <v>#N/A</v>
      </c>
    </row>
    <row r="418" spans="1:3" x14ac:dyDescent="0.2">
      <c r="A418" s="2" t="e">
        <f t="shared" si="18"/>
        <v>#N/A</v>
      </c>
      <c r="B418" s="2" t="e">
        <f t="shared" si="19"/>
        <v>#N/A</v>
      </c>
      <c r="C418" s="2" t="e">
        <f t="shared" si="20"/>
        <v>#N/A</v>
      </c>
    </row>
    <row r="419" spans="1:3" x14ac:dyDescent="0.2">
      <c r="A419" s="3" t="e">
        <f t="shared" si="18"/>
        <v>#N/A</v>
      </c>
      <c r="B419" s="3" t="e">
        <f t="shared" si="19"/>
        <v>#N/A</v>
      </c>
      <c r="C419" s="3" t="e">
        <f t="shared" si="20"/>
        <v>#N/A</v>
      </c>
    </row>
    <row r="420" spans="1:3" x14ac:dyDescent="0.2">
      <c r="A420" s="2" t="e">
        <f t="shared" si="18"/>
        <v>#N/A</v>
      </c>
      <c r="B420" s="2" t="e">
        <f t="shared" si="19"/>
        <v>#N/A</v>
      </c>
      <c r="C420" s="2" t="e">
        <f t="shared" si="20"/>
        <v>#N/A</v>
      </c>
    </row>
    <row r="421" spans="1:3" x14ac:dyDescent="0.2">
      <c r="A421" s="3" t="e">
        <f t="shared" si="18"/>
        <v>#N/A</v>
      </c>
      <c r="B421" s="3" t="e">
        <f t="shared" si="19"/>
        <v>#N/A</v>
      </c>
      <c r="C421" s="3" t="e">
        <f t="shared" si="20"/>
        <v>#N/A</v>
      </c>
    </row>
    <row r="422" spans="1:3" x14ac:dyDescent="0.2">
      <c r="A422" s="2" t="e">
        <f t="shared" si="18"/>
        <v>#N/A</v>
      </c>
      <c r="B422" s="2" t="e">
        <f t="shared" si="19"/>
        <v>#N/A</v>
      </c>
      <c r="C422" s="2" t="e">
        <f t="shared" si="20"/>
        <v>#N/A</v>
      </c>
    </row>
    <row r="423" spans="1:3" x14ac:dyDescent="0.2">
      <c r="A423" s="3" t="e">
        <f t="shared" si="18"/>
        <v>#N/A</v>
      </c>
      <c r="B423" s="3" t="e">
        <f t="shared" si="19"/>
        <v>#N/A</v>
      </c>
      <c r="C423" s="3" t="e">
        <f t="shared" si="20"/>
        <v>#N/A</v>
      </c>
    </row>
    <row r="424" spans="1:3" x14ac:dyDescent="0.2">
      <c r="A424" s="2" t="e">
        <f t="shared" si="18"/>
        <v>#N/A</v>
      </c>
      <c r="B424" s="2" t="e">
        <f t="shared" si="19"/>
        <v>#N/A</v>
      </c>
      <c r="C424" s="2" t="e">
        <f t="shared" si="20"/>
        <v>#N/A</v>
      </c>
    </row>
    <row r="425" spans="1:3" x14ac:dyDescent="0.2">
      <c r="A425" s="3" t="e">
        <f t="shared" si="18"/>
        <v>#N/A</v>
      </c>
      <c r="B425" s="3" t="e">
        <f t="shared" si="19"/>
        <v>#N/A</v>
      </c>
      <c r="C425" s="3" t="e">
        <f t="shared" si="20"/>
        <v>#N/A</v>
      </c>
    </row>
    <row r="426" spans="1:3" x14ac:dyDescent="0.2">
      <c r="A426" s="2" t="e">
        <f t="shared" si="18"/>
        <v>#N/A</v>
      </c>
      <c r="B426" s="2" t="e">
        <f t="shared" si="19"/>
        <v>#N/A</v>
      </c>
      <c r="C426" s="2" t="e">
        <f t="shared" si="20"/>
        <v>#N/A</v>
      </c>
    </row>
    <row r="427" spans="1:3" x14ac:dyDescent="0.2">
      <c r="A427" s="3" t="e">
        <f t="shared" si="18"/>
        <v>#N/A</v>
      </c>
      <c r="B427" s="3" t="e">
        <f t="shared" si="19"/>
        <v>#N/A</v>
      </c>
      <c r="C427" s="3" t="e">
        <f t="shared" si="20"/>
        <v>#N/A</v>
      </c>
    </row>
    <row r="428" spans="1:3" x14ac:dyDescent="0.2">
      <c r="A428" s="2" t="e">
        <f t="shared" si="18"/>
        <v>#N/A</v>
      </c>
      <c r="B428" s="2" t="e">
        <f t="shared" si="19"/>
        <v>#N/A</v>
      </c>
      <c r="C428" s="2" t="e">
        <f t="shared" si="20"/>
        <v>#N/A</v>
      </c>
    </row>
    <row r="429" spans="1:3" x14ac:dyDescent="0.2">
      <c r="A429" s="3" t="e">
        <f t="shared" si="18"/>
        <v>#N/A</v>
      </c>
      <c r="B429" s="3" t="e">
        <f t="shared" si="19"/>
        <v>#N/A</v>
      </c>
      <c r="C429" s="3" t="e">
        <f t="shared" si="20"/>
        <v>#N/A</v>
      </c>
    </row>
    <row r="430" spans="1:3" x14ac:dyDescent="0.2">
      <c r="A430" s="2" t="e">
        <f t="shared" si="18"/>
        <v>#N/A</v>
      </c>
      <c r="B430" s="2" t="e">
        <f t="shared" si="19"/>
        <v>#N/A</v>
      </c>
      <c r="C430" s="2" t="e">
        <f t="shared" si="20"/>
        <v>#N/A</v>
      </c>
    </row>
    <row r="431" spans="1:3" x14ac:dyDescent="0.2">
      <c r="A431" s="3" t="e">
        <f t="shared" si="18"/>
        <v>#N/A</v>
      </c>
      <c r="B431" s="3" t="e">
        <f t="shared" si="19"/>
        <v>#N/A</v>
      </c>
      <c r="C431" s="3" t="e">
        <f t="shared" si="20"/>
        <v>#N/A</v>
      </c>
    </row>
    <row r="432" spans="1:3" x14ac:dyDescent="0.2">
      <c r="A432" s="2" t="e">
        <f t="shared" si="18"/>
        <v>#N/A</v>
      </c>
      <c r="B432" s="2" t="e">
        <f t="shared" si="19"/>
        <v>#N/A</v>
      </c>
      <c r="C432" s="2" t="e">
        <f t="shared" si="20"/>
        <v>#N/A</v>
      </c>
    </row>
    <row r="433" spans="1:3" x14ac:dyDescent="0.2">
      <c r="A433" s="3" t="e">
        <f t="shared" si="18"/>
        <v>#N/A</v>
      </c>
      <c r="B433" s="3" t="e">
        <f t="shared" si="19"/>
        <v>#N/A</v>
      </c>
      <c r="C433" s="3" t="e">
        <f t="shared" si="20"/>
        <v>#N/A</v>
      </c>
    </row>
    <row r="434" spans="1:3" x14ac:dyDescent="0.2">
      <c r="A434" s="2" t="e">
        <f t="shared" si="18"/>
        <v>#N/A</v>
      </c>
      <c r="B434" s="2" t="e">
        <f t="shared" si="19"/>
        <v>#N/A</v>
      </c>
      <c r="C434" s="2" t="e">
        <f t="shared" si="20"/>
        <v>#N/A</v>
      </c>
    </row>
    <row r="435" spans="1:3" x14ac:dyDescent="0.2">
      <c r="A435" s="3" t="e">
        <f t="shared" si="18"/>
        <v>#N/A</v>
      </c>
      <c r="B435" s="3" t="e">
        <f t="shared" si="19"/>
        <v>#N/A</v>
      </c>
      <c r="C435" s="3" t="e">
        <f t="shared" si="20"/>
        <v>#N/A</v>
      </c>
    </row>
    <row r="436" spans="1:3" x14ac:dyDescent="0.2">
      <c r="A436" s="2" t="e">
        <f t="shared" si="18"/>
        <v>#N/A</v>
      </c>
      <c r="B436" s="2" t="e">
        <f t="shared" si="19"/>
        <v>#N/A</v>
      </c>
      <c r="C436" s="2" t="e">
        <f t="shared" si="20"/>
        <v>#N/A</v>
      </c>
    </row>
    <row r="437" spans="1:3" x14ac:dyDescent="0.2">
      <c r="A437" s="3" t="e">
        <f t="shared" si="18"/>
        <v>#N/A</v>
      </c>
      <c r="B437" s="3" t="e">
        <f t="shared" si="19"/>
        <v>#N/A</v>
      </c>
      <c r="C437" s="3" t="e">
        <f t="shared" si="20"/>
        <v>#N/A</v>
      </c>
    </row>
    <row r="438" spans="1:3" x14ac:dyDescent="0.2">
      <c r="A438" s="2" t="e">
        <f t="shared" si="18"/>
        <v>#N/A</v>
      </c>
      <c r="B438" s="2" t="e">
        <f t="shared" si="19"/>
        <v>#N/A</v>
      </c>
      <c r="C438" s="2" t="e">
        <f t="shared" si="20"/>
        <v>#N/A</v>
      </c>
    </row>
    <row r="439" spans="1:3" x14ac:dyDescent="0.2">
      <c r="A439" s="3" t="e">
        <f t="shared" si="18"/>
        <v>#N/A</v>
      </c>
      <c r="B439" s="3" t="e">
        <f t="shared" si="19"/>
        <v>#N/A</v>
      </c>
      <c r="C439" s="3" t="e">
        <f t="shared" si="20"/>
        <v>#N/A</v>
      </c>
    </row>
    <row r="440" spans="1:3" x14ac:dyDescent="0.2">
      <c r="A440" s="2" t="e">
        <f t="shared" si="18"/>
        <v>#N/A</v>
      </c>
      <c r="B440" s="2" t="e">
        <f t="shared" si="19"/>
        <v>#N/A</v>
      </c>
      <c r="C440" s="2" t="e">
        <f t="shared" si="20"/>
        <v>#N/A</v>
      </c>
    </row>
    <row r="441" spans="1:3" x14ac:dyDescent="0.2">
      <c r="A441" s="3" t="e">
        <f t="shared" si="18"/>
        <v>#N/A</v>
      </c>
      <c r="B441" s="3" t="e">
        <f t="shared" si="19"/>
        <v>#N/A</v>
      </c>
      <c r="C441" s="3" t="e">
        <f t="shared" si="20"/>
        <v>#N/A</v>
      </c>
    </row>
    <row r="442" spans="1:3" x14ac:dyDescent="0.2">
      <c r="A442" s="2" t="e">
        <f t="shared" si="18"/>
        <v>#N/A</v>
      </c>
      <c r="B442" s="2" t="e">
        <f t="shared" si="19"/>
        <v>#N/A</v>
      </c>
      <c r="C442" s="2" t="e">
        <f t="shared" si="20"/>
        <v>#N/A</v>
      </c>
    </row>
    <row r="443" spans="1:3" x14ac:dyDescent="0.2">
      <c r="A443" s="3" t="e">
        <f t="shared" si="18"/>
        <v>#N/A</v>
      </c>
      <c r="B443" s="3" t="e">
        <f t="shared" si="19"/>
        <v>#N/A</v>
      </c>
      <c r="C443" s="3" t="e">
        <f t="shared" si="20"/>
        <v>#N/A</v>
      </c>
    </row>
    <row r="444" spans="1:3" x14ac:dyDescent="0.2">
      <c r="A444" s="2" t="e">
        <f t="shared" si="18"/>
        <v>#N/A</v>
      </c>
      <c r="B444" s="2" t="e">
        <f t="shared" si="19"/>
        <v>#N/A</v>
      </c>
      <c r="C444" s="2" t="e">
        <f t="shared" si="20"/>
        <v>#N/A</v>
      </c>
    </row>
    <row r="445" spans="1:3" x14ac:dyDescent="0.2">
      <c r="A445" s="3" t="e">
        <f t="shared" si="18"/>
        <v>#N/A</v>
      </c>
      <c r="B445" s="3" t="e">
        <f t="shared" si="19"/>
        <v>#N/A</v>
      </c>
      <c r="C445" s="3" t="e">
        <f t="shared" si="20"/>
        <v>#N/A</v>
      </c>
    </row>
    <row r="446" spans="1:3" x14ac:dyDescent="0.2">
      <c r="A446" s="2" t="e">
        <f t="shared" si="18"/>
        <v>#N/A</v>
      </c>
      <c r="B446" s="2" t="e">
        <f t="shared" si="19"/>
        <v>#N/A</v>
      </c>
      <c r="C446" s="2" t="e">
        <f t="shared" si="20"/>
        <v>#N/A</v>
      </c>
    </row>
    <row r="447" spans="1:3" x14ac:dyDescent="0.2">
      <c r="A447" s="3" t="e">
        <f t="shared" si="18"/>
        <v>#N/A</v>
      </c>
      <c r="B447" s="3" t="e">
        <f t="shared" si="19"/>
        <v>#N/A</v>
      </c>
      <c r="C447" s="3" t="e">
        <f t="shared" si="20"/>
        <v>#N/A</v>
      </c>
    </row>
    <row r="448" spans="1:3" x14ac:dyDescent="0.2">
      <c r="A448" s="2" t="e">
        <f t="shared" si="18"/>
        <v>#N/A</v>
      </c>
      <c r="B448" s="2" t="e">
        <f t="shared" si="19"/>
        <v>#N/A</v>
      </c>
      <c r="C448" s="2" t="e">
        <f t="shared" si="20"/>
        <v>#N/A</v>
      </c>
    </row>
    <row r="449" spans="1:3" x14ac:dyDescent="0.2">
      <c r="A449" s="3" t="e">
        <f t="shared" si="18"/>
        <v>#N/A</v>
      </c>
      <c r="B449" s="3" t="e">
        <f t="shared" si="19"/>
        <v>#N/A</v>
      </c>
      <c r="C449" s="3" t="e">
        <f t="shared" si="20"/>
        <v>#N/A</v>
      </c>
    </row>
    <row r="450" spans="1:3" x14ac:dyDescent="0.2">
      <c r="A450" s="2" t="e">
        <f t="shared" si="18"/>
        <v>#N/A</v>
      </c>
      <c r="B450" s="2" t="e">
        <f t="shared" si="19"/>
        <v>#N/A</v>
      </c>
      <c r="C450" s="2" t="e">
        <f t="shared" si="20"/>
        <v>#N/A</v>
      </c>
    </row>
    <row r="451" spans="1:3" x14ac:dyDescent="0.2">
      <c r="A451" s="3" t="e">
        <f t="shared" si="18"/>
        <v>#N/A</v>
      </c>
      <c r="B451" s="3" t="e">
        <f t="shared" si="19"/>
        <v>#N/A</v>
      </c>
      <c r="C451" s="3" t="e">
        <f t="shared" si="20"/>
        <v>#N/A</v>
      </c>
    </row>
    <row r="452" spans="1:3" x14ac:dyDescent="0.2">
      <c r="A452" s="2" t="e">
        <f t="shared" si="18"/>
        <v>#N/A</v>
      </c>
      <c r="B452" s="2" t="e">
        <f t="shared" si="19"/>
        <v>#N/A</v>
      </c>
      <c r="C452" s="2" t="e">
        <f t="shared" si="20"/>
        <v>#N/A</v>
      </c>
    </row>
    <row r="453" spans="1:3" x14ac:dyDescent="0.2">
      <c r="A453" s="3" t="e">
        <f t="shared" ref="A453:A503" si="21">IF(ISNA(A452), NA(), IF(A452 + $H$6 &lt;= $H$7 + 0.000000001, A452 + $H$6, NA()))</f>
        <v>#N/A</v>
      </c>
      <c r="B453" s="3" t="e">
        <f t="shared" ref="B453:B503" si="22">IF(ISNA(A453), NA(), $H$4 * EXP($H$5 * A453))</f>
        <v>#N/A</v>
      </c>
      <c r="C453" s="3" t="e">
        <f t="shared" ref="C453:C503" si="23">IF(ISNA(A453), NA(), C452 + $H$5 * C452 * $H$6)</f>
        <v>#N/A</v>
      </c>
    </row>
    <row r="454" spans="1:3" x14ac:dyDescent="0.2">
      <c r="A454" s="2" t="e">
        <f t="shared" si="21"/>
        <v>#N/A</v>
      </c>
      <c r="B454" s="2" t="e">
        <f t="shared" si="22"/>
        <v>#N/A</v>
      </c>
      <c r="C454" s="2" t="e">
        <f t="shared" si="23"/>
        <v>#N/A</v>
      </c>
    </row>
    <row r="455" spans="1:3" x14ac:dyDescent="0.2">
      <c r="A455" s="3" t="e">
        <f t="shared" si="21"/>
        <v>#N/A</v>
      </c>
      <c r="B455" s="3" t="e">
        <f t="shared" si="22"/>
        <v>#N/A</v>
      </c>
      <c r="C455" s="3" t="e">
        <f t="shared" si="23"/>
        <v>#N/A</v>
      </c>
    </row>
    <row r="456" spans="1:3" x14ac:dyDescent="0.2">
      <c r="A456" s="2" t="e">
        <f t="shared" si="21"/>
        <v>#N/A</v>
      </c>
      <c r="B456" s="2" t="e">
        <f t="shared" si="22"/>
        <v>#N/A</v>
      </c>
      <c r="C456" s="2" t="e">
        <f t="shared" si="23"/>
        <v>#N/A</v>
      </c>
    </row>
    <row r="457" spans="1:3" x14ac:dyDescent="0.2">
      <c r="A457" s="3" t="e">
        <f t="shared" si="21"/>
        <v>#N/A</v>
      </c>
      <c r="B457" s="3" t="e">
        <f t="shared" si="22"/>
        <v>#N/A</v>
      </c>
      <c r="C457" s="3" t="e">
        <f t="shared" si="23"/>
        <v>#N/A</v>
      </c>
    </row>
    <row r="458" spans="1:3" x14ac:dyDescent="0.2">
      <c r="A458" s="2" t="e">
        <f t="shared" si="21"/>
        <v>#N/A</v>
      </c>
      <c r="B458" s="2" t="e">
        <f t="shared" si="22"/>
        <v>#N/A</v>
      </c>
      <c r="C458" s="2" t="e">
        <f t="shared" si="23"/>
        <v>#N/A</v>
      </c>
    </row>
    <row r="459" spans="1:3" x14ac:dyDescent="0.2">
      <c r="A459" s="3" t="e">
        <f t="shared" si="21"/>
        <v>#N/A</v>
      </c>
      <c r="B459" s="3" t="e">
        <f t="shared" si="22"/>
        <v>#N/A</v>
      </c>
      <c r="C459" s="3" t="e">
        <f t="shared" si="23"/>
        <v>#N/A</v>
      </c>
    </row>
    <row r="460" spans="1:3" x14ac:dyDescent="0.2">
      <c r="A460" s="2" t="e">
        <f t="shared" si="21"/>
        <v>#N/A</v>
      </c>
      <c r="B460" s="2" t="e">
        <f t="shared" si="22"/>
        <v>#N/A</v>
      </c>
      <c r="C460" s="2" t="e">
        <f t="shared" si="23"/>
        <v>#N/A</v>
      </c>
    </row>
    <row r="461" spans="1:3" x14ac:dyDescent="0.2">
      <c r="A461" s="3" t="e">
        <f t="shared" si="21"/>
        <v>#N/A</v>
      </c>
      <c r="B461" s="3" t="e">
        <f t="shared" si="22"/>
        <v>#N/A</v>
      </c>
      <c r="C461" s="3" t="e">
        <f t="shared" si="23"/>
        <v>#N/A</v>
      </c>
    </row>
    <row r="462" spans="1:3" x14ac:dyDescent="0.2">
      <c r="A462" s="2" t="e">
        <f t="shared" si="21"/>
        <v>#N/A</v>
      </c>
      <c r="B462" s="2" t="e">
        <f t="shared" si="22"/>
        <v>#N/A</v>
      </c>
      <c r="C462" s="2" t="e">
        <f t="shared" si="23"/>
        <v>#N/A</v>
      </c>
    </row>
    <row r="463" spans="1:3" x14ac:dyDescent="0.2">
      <c r="A463" s="3" t="e">
        <f t="shared" si="21"/>
        <v>#N/A</v>
      </c>
      <c r="B463" s="3" t="e">
        <f t="shared" si="22"/>
        <v>#N/A</v>
      </c>
      <c r="C463" s="3" t="e">
        <f t="shared" si="23"/>
        <v>#N/A</v>
      </c>
    </row>
    <row r="464" spans="1:3" x14ac:dyDescent="0.2">
      <c r="A464" s="2" t="e">
        <f t="shared" si="21"/>
        <v>#N/A</v>
      </c>
      <c r="B464" s="2" t="e">
        <f t="shared" si="22"/>
        <v>#N/A</v>
      </c>
      <c r="C464" s="2" t="e">
        <f t="shared" si="23"/>
        <v>#N/A</v>
      </c>
    </row>
    <row r="465" spans="1:3" x14ac:dyDescent="0.2">
      <c r="A465" s="3" t="e">
        <f t="shared" si="21"/>
        <v>#N/A</v>
      </c>
      <c r="B465" s="3" t="e">
        <f t="shared" si="22"/>
        <v>#N/A</v>
      </c>
      <c r="C465" s="3" t="e">
        <f t="shared" si="23"/>
        <v>#N/A</v>
      </c>
    </row>
    <row r="466" spans="1:3" x14ac:dyDescent="0.2">
      <c r="A466" s="2" t="e">
        <f t="shared" si="21"/>
        <v>#N/A</v>
      </c>
      <c r="B466" s="2" t="e">
        <f t="shared" si="22"/>
        <v>#N/A</v>
      </c>
      <c r="C466" s="2" t="e">
        <f t="shared" si="23"/>
        <v>#N/A</v>
      </c>
    </row>
    <row r="467" spans="1:3" x14ac:dyDescent="0.2">
      <c r="A467" s="3" t="e">
        <f t="shared" si="21"/>
        <v>#N/A</v>
      </c>
      <c r="B467" s="3" t="e">
        <f t="shared" si="22"/>
        <v>#N/A</v>
      </c>
      <c r="C467" s="3" t="e">
        <f t="shared" si="23"/>
        <v>#N/A</v>
      </c>
    </row>
    <row r="468" spans="1:3" x14ac:dyDescent="0.2">
      <c r="A468" s="2" t="e">
        <f t="shared" si="21"/>
        <v>#N/A</v>
      </c>
      <c r="B468" s="2" t="e">
        <f t="shared" si="22"/>
        <v>#N/A</v>
      </c>
      <c r="C468" s="2" t="e">
        <f t="shared" si="23"/>
        <v>#N/A</v>
      </c>
    </row>
    <row r="469" spans="1:3" x14ac:dyDescent="0.2">
      <c r="A469" s="3" t="e">
        <f t="shared" si="21"/>
        <v>#N/A</v>
      </c>
      <c r="B469" s="3" t="e">
        <f t="shared" si="22"/>
        <v>#N/A</v>
      </c>
      <c r="C469" s="3" t="e">
        <f t="shared" si="23"/>
        <v>#N/A</v>
      </c>
    </row>
    <row r="470" spans="1:3" x14ac:dyDescent="0.2">
      <c r="A470" s="2" t="e">
        <f t="shared" si="21"/>
        <v>#N/A</v>
      </c>
      <c r="B470" s="2" t="e">
        <f t="shared" si="22"/>
        <v>#N/A</v>
      </c>
      <c r="C470" s="2" t="e">
        <f t="shared" si="23"/>
        <v>#N/A</v>
      </c>
    </row>
    <row r="471" spans="1:3" x14ac:dyDescent="0.2">
      <c r="A471" s="3" t="e">
        <f t="shared" si="21"/>
        <v>#N/A</v>
      </c>
      <c r="B471" s="3" t="e">
        <f t="shared" si="22"/>
        <v>#N/A</v>
      </c>
      <c r="C471" s="3" t="e">
        <f t="shared" si="23"/>
        <v>#N/A</v>
      </c>
    </row>
    <row r="472" spans="1:3" x14ac:dyDescent="0.2">
      <c r="A472" s="2" t="e">
        <f t="shared" si="21"/>
        <v>#N/A</v>
      </c>
      <c r="B472" s="2" t="e">
        <f t="shared" si="22"/>
        <v>#N/A</v>
      </c>
      <c r="C472" s="2" t="e">
        <f t="shared" si="23"/>
        <v>#N/A</v>
      </c>
    </row>
    <row r="473" spans="1:3" x14ac:dyDescent="0.2">
      <c r="A473" s="3" t="e">
        <f t="shared" si="21"/>
        <v>#N/A</v>
      </c>
      <c r="B473" s="3" t="e">
        <f t="shared" si="22"/>
        <v>#N/A</v>
      </c>
      <c r="C473" s="3" t="e">
        <f t="shared" si="23"/>
        <v>#N/A</v>
      </c>
    </row>
    <row r="474" spans="1:3" x14ac:dyDescent="0.2">
      <c r="A474" s="2" t="e">
        <f t="shared" si="21"/>
        <v>#N/A</v>
      </c>
      <c r="B474" s="2" t="e">
        <f t="shared" si="22"/>
        <v>#N/A</v>
      </c>
      <c r="C474" s="2" t="e">
        <f t="shared" si="23"/>
        <v>#N/A</v>
      </c>
    </row>
    <row r="475" spans="1:3" x14ac:dyDescent="0.2">
      <c r="A475" s="3" t="e">
        <f t="shared" si="21"/>
        <v>#N/A</v>
      </c>
      <c r="B475" s="3" t="e">
        <f t="shared" si="22"/>
        <v>#N/A</v>
      </c>
      <c r="C475" s="3" t="e">
        <f t="shared" si="23"/>
        <v>#N/A</v>
      </c>
    </row>
    <row r="476" spans="1:3" x14ac:dyDescent="0.2">
      <c r="A476" s="2" t="e">
        <f t="shared" si="21"/>
        <v>#N/A</v>
      </c>
      <c r="B476" s="2" t="e">
        <f t="shared" si="22"/>
        <v>#N/A</v>
      </c>
      <c r="C476" s="2" t="e">
        <f t="shared" si="23"/>
        <v>#N/A</v>
      </c>
    </row>
    <row r="477" spans="1:3" x14ac:dyDescent="0.2">
      <c r="A477" s="3" t="e">
        <f t="shared" si="21"/>
        <v>#N/A</v>
      </c>
      <c r="B477" s="3" t="e">
        <f t="shared" si="22"/>
        <v>#N/A</v>
      </c>
      <c r="C477" s="3" t="e">
        <f t="shared" si="23"/>
        <v>#N/A</v>
      </c>
    </row>
    <row r="478" spans="1:3" x14ac:dyDescent="0.2">
      <c r="A478" s="2" t="e">
        <f t="shared" si="21"/>
        <v>#N/A</v>
      </c>
      <c r="B478" s="2" t="e">
        <f t="shared" si="22"/>
        <v>#N/A</v>
      </c>
      <c r="C478" s="2" t="e">
        <f t="shared" si="23"/>
        <v>#N/A</v>
      </c>
    </row>
    <row r="479" spans="1:3" x14ac:dyDescent="0.2">
      <c r="A479" s="3" t="e">
        <f t="shared" si="21"/>
        <v>#N/A</v>
      </c>
      <c r="B479" s="3" t="e">
        <f t="shared" si="22"/>
        <v>#N/A</v>
      </c>
      <c r="C479" s="3" t="e">
        <f t="shared" si="23"/>
        <v>#N/A</v>
      </c>
    </row>
    <row r="480" spans="1:3" x14ac:dyDescent="0.2">
      <c r="A480" s="2" t="e">
        <f t="shared" si="21"/>
        <v>#N/A</v>
      </c>
      <c r="B480" s="2" t="e">
        <f t="shared" si="22"/>
        <v>#N/A</v>
      </c>
      <c r="C480" s="2" t="e">
        <f t="shared" si="23"/>
        <v>#N/A</v>
      </c>
    </row>
    <row r="481" spans="1:3" x14ac:dyDescent="0.2">
      <c r="A481" s="3" t="e">
        <f t="shared" si="21"/>
        <v>#N/A</v>
      </c>
      <c r="B481" s="3" t="e">
        <f t="shared" si="22"/>
        <v>#N/A</v>
      </c>
      <c r="C481" s="3" t="e">
        <f t="shared" si="23"/>
        <v>#N/A</v>
      </c>
    </row>
    <row r="482" spans="1:3" x14ac:dyDescent="0.2">
      <c r="A482" s="2" t="e">
        <f t="shared" si="21"/>
        <v>#N/A</v>
      </c>
      <c r="B482" s="2" t="e">
        <f t="shared" si="22"/>
        <v>#N/A</v>
      </c>
      <c r="C482" s="2" t="e">
        <f t="shared" si="23"/>
        <v>#N/A</v>
      </c>
    </row>
    <row r="483" spans="1:3" x14ac:dyDescent="0.2">
      <c r="A483" s="3" t="e">
        <f t="shared" si="21"/>
        <v>#N/A</v>
      </c>
      <c r="B483" s="3" t="e">
        <f t="shared" si="22"/>
        <v>#N/A</v>
      </c>
      <c r="C483" s="3" t="e">
        <f t="shared" si="23"/>
        <v>#N/A</v>
      </c>
    </row>
    <row r="484" spans="1:3" x14ac:dyDescent="0.2">
      <c r="A484" s="2" t="e">
        <f t="shared" si="21"/>
        <v>#N/A</v>
      </c>
      <c r="B484" s="2" t="e">
        <f t="shared" si="22"/>
        <v>#N/A</v>
      </c>
      <c r="C484" s="2" t="e">
        <f t="shared" si="23"/>
        <v>#N/A</v>
      </c>
    </row>
    <row r="485" spans="1:3" x14ac:dyDescent="0.2">
      <c r="A485" s="3" t="e">
        <f t="shared" si="21"/>
        <v>#N/A</v>
      </c>
      <c r="B485" s="3" t="e">
        <f t="shared" si="22"/>
        <v>#N/A</v>
      </c>
      <c r="C485" s="3" t="e">
        <f t="shared" si="23"/>
        <v>#N/A</v>
      </c>
    </row>
    <row r="486" spans="1:3" x14ac:dyDescent="0.2">
      <c r="A486" s="2" t="e">
        <f t="shared" si="21"/>
        <v>#N/A</v>
      </c>
      <c r="B486" s="2" t="e">
        <f t="shared" si="22"/>
        <v>#N/A</v>
      </c>
      <c r="C486" s="2" t="e">
        <f t="shared" si="23"/>
        <v>#N/A</v>
      </c>
    </row>
    <row r="487" spans="1:3" x14ac:dyDescent="0.2">
      <c r="A487" s="3" t="e">
        <f t="shared" si="21"/>
        <v>#N/A</v>
      </c>
      <c r="B487" s="3" t="e">
        <f t="shared" si="22"/>
        <v>#N/A</v>
      </c>
      <c r="C487" s="3" t="e">
        <f t="shared" si="23"/>
        <v>#N/A</v>
      </c>
    </row>
    <row r="488" spans="1:3" x14ac:dyDescent="0.2">
      <c r="A488" s="2" t="e">
        <f t="shared" si="21"/>
        <v>#N/A</v>
      </c>
      <c r="B488" s="2" t="e">
        <f t="shared" si="22"/>
        <v>#N/A</v>
      </c>
      <c r="C488" s="2" t="e">
        <f t="shared" si="23"/>
        <v>#N/A</v>
      </c>
    </row>
    <row r="489" spans="1:3" x14ac:dyDescent="0.2">
      <c r="A489" s="3" t="e">
        <f t="shared" si="21"/>
        <v>#N/A</v>
      </c>
      <c r="B489" s="3" t="e">
        <f t="shared" si="22"/>
        <v>#N/A</v>
      </c>
      <c r="C489" s="3" t="e">
        <f t="shared" si="23"/>
        <v>#N/A</v>
      </c>
    </row>
    <row r="490" spans="1:3" x14ac:dyDescent="0.2">
      <c r="A490" s="2" t="e">
        <f t="shared" si="21"/>
        <v>#N/A</v>
      </c>
      <c r="B490" s="2" t="e">
        <f t="shared" si="22"/>
        <v>#N/A</v>
      </c>
      <c r="C490" s="2" t="e">
        <f t="shared" si="23"/>
        <v>#N/A</v>
      </c>
    </row>
    <row r="491" spans="1:3" x14ac:dyDescent="0.2">
      <c r="A491" s="3" t="e">
        <f t="shared" si="21"/>
        <v>#N/A</v>
      </c>
      <c r="B491" s="3" t="e">
        <f t="shared" si="22"/>
        <v>#N/A</v>
      </c>
      <c r="C491" s="3" t="e">
        <f t="shared" si="23"/>
        <v>#N/A</v>
      </c>
    </row>
    <row r="492" spans="1:3" x14ac:dyDescent="0.2">
      <c r="A492" s="2" t="e">
        <f t="shared" si="21"/>
        <v>#N/A</v>
      </c>
      <c r="B492" s="2" t="e">
        <f t="shared" si="22"/>
        <v>#N/A</v>
      </c>
      <c r="C492" s="2" t="e">
        <f t="shared" si="23"/>
        <v>#N/A</v>
      </c>
    </row>
    <row r="493" spans="1:3" x14ac:dyDescent="0.2">
      <c r="A493" s="3" t="e">
        <f t="shared" si="21"/>
        <v>#N/A</v>
      </c>
      <c r="B493" s="3" t="e">
        <f t="shared" si="22"/>
        <v>#N/A</v>
      </c>
      <c r="C493" s="3" t="e">
        <f t="shared" si="23"/>
        <v>#N/A</v>
      </c>
    </row>
    <row r="494" spans="1:3" x14ac:dyDescent="0.2">
      <c r="A494" s="2" t="e">
        <f t="shared" si="21"/>
        <v>#N/A</v>
      </c>
      <c r="B494" s="2" t="e">
        <f t="shared" si="22"/>
        <v>#N/A</v>
      </c>
      <c r="C494" s="2" t="e">
        <f t="shared" si="23"/>
        <v>#N/A</v>
      </c>
    </row>
    <row r="495" spans="1:3" x14ac:dyDescent="0.2">
      <c r="A495" s="3" t="e">
        <f t="shared" si="21"/>
        <v>#N/A</v>
      </c>
      <c r="B495" s="3" t="e">
        <f t="shared" si="22"/>
        <v>#N/A</v>
      </c>
      <c r="C495" s="3" t="e">
        <f t="shared" si="23"/>
        <v>#N/A</v>
      </c>
    </row>
    <row r="496" spans="1:3" x14ac:dyDescent="0.2">
      <c r="A496" s="2" t="e">
        <f t="shared" si="21"/>
        <v>#N/A</v>
      </c>
      <c r="B496" s="2" t="e">
        <f t="shared" si="22"/>
        <v>#N/A</v>
      </c>
      <c r="C496" s="2" t="e">
        <f t="shared" si="23"/>
        <v>#N/A</v>
      </c>
    </row>
    <row r="497" spans="1:3" x14ac:dyDescent="0.2">
      <c r="A497" s="3" t="e">
        <f t="shared" si="21"/>
        <v>#N/A</v>
      </c>
      <c r="B497" s="3" t="e">
        <f t="shared" si="22"/>
        <v>#N/A</v>
      </c>
      <c r="C497" s="3" t="e">
        <f t="shared" si="23"/>
        <v>#N/A</v>
      </c>
    </row>
    <row r="498" spans="1:3" x14ac:dyDescent="0.2">
      <c r="A498" s="2" t="e">
        <f t="shared" si="21"/>
        <v>#N/A</v>
      </c>
      <c r="B498" s="2" t="e">
        <f t="shared" si="22"/>
        <v>#N/A</v>
      </c>
      <c r="C498" s="2" t="e">
        <f t="shared" si="23"/>
        <v>#N/A</v>
      </c>
    </row>
    <row r="499" spans="1:3" x14ac:dyDescent="0.2">
      <c r="A499" s="3" t="e">
        <f t="shared" si="21"/>
        <v>#N/A</v>
      </c>
      <c r="B499" s="3" t="e">
        <f t="shared" si="22"/>
        <v>#N/A</v>
      </c>
      <c r="C499" s="3" t="e">
        <f t="shared" si="23"/>
        <v>#N/A</v>
      </c>
    </row>
    <row r="500" spans="1:3" x14ac:dyDescent="0.2">
      <c r="A500" s="2" t="e">
        <f t="shared" si="21"/>
        <v>#N/A</v>
      </c>
      <c r="B500" s="2" t="e">
        <f t="shared" si="22"/>
        <v>#N/A</v>
      </c>
      <c r="C500" s="2" t="e">
        <f t="shared" si="23"/>
        <v>#N/A</v>
      </c>
    </row>
    <row r="501" spans="1:3" x14ac:dyDescent="0.2">
      <c r="A501" s="3" t="e">
        <f t="shared" si="21"/>
        <v>#N/A</v>
      </c>
      <c r="B501" s="3" t="e">
        <f t="shared" si="22"/>
        <v>#N/A</v>
      </c>
      <c r="C501" s="3" t="e">
        <f t="shared" si="23"/>
        <v>#N/A</v>
      </c>
    </row>
    <row r="502" spans="1:3" x14ac:dyDescent="0.2">
      <c r="A502" s="2" t="e">
        <f t="shared" si="21"/>
        <v>#N/A</v>
      </c>
      <c r="B502" s="2" t="e">
        <f t="shared" si="22"/>
        <v>#N/A</v>
      </c>
      <c r="C502" s="2" t="e">
        <f t="shared" si="23"/>
        <v>#N/A</v>
      </c>
    </row>
    <row r="503" spans="1:3" x14ac:dyDescent="0.2">
      <c r="A503" s="3" t="e">
        <f t="shared" si="21"/>
        <v>#N/A</v>
      </c>
      <c r="B503" s="3" t="e">
        <f t="shared" si="22"/>
        <v>#N/A</v>
      </c>
      <c r="C503" s="3" t="e">
        <f t="shared" si="23"/>
        <v>#N/A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3"/>
  <sheetViews>
    <sheetView showGridLines="0" tabSelected="1" zoomScale="94" zoomScaleNormal="94" workbookViewId="0">
      <selection activeCell="D7" sqref="D7"/>
    </sheetView>
  </sheetViews>
  <sheetFormatPr baseColWidth="10" defaultColWidth="8.83203125" defaultRowHeight="17" x14ac:dyDescent="0.25"/>
  <cols>
    <col min="1" max="3" width="20.6640625" style="6" customWidth="1"/>
    <col min="4" max="5" width="8.83203125" style="7"/>
    <col min="6" max="6" width="10.6640625" style="7" customWidth="1"/>
    <col min="7" max="7" width="22.6640625" style="7" customWidth="1"/>
    <col min="8" max="8" width="15.6640625" style="7" customWidth="1"/>
    <col min="9" max="16384" width="8.83203125" style="7"/>
  </cols>
  <sheetData>
    <row r="1" spans="1:8" ht="33" x14ac:dyDescent="0.45">
      <c r="A1" s="5" t="s">
        <v>13</v>
      </c>
    </row>
    <row r="3" spans="1:8" x14ac:dyDescent="0.25">
      <c r="A3" s="8" t="s">
        <v>8</v>
      </c>
      <c r="B3" s="8" t="s">
        <v>9</v>
      </c>
      <c r="C3" s="8" t="s">
        <v>10</v>
      </c>
      <c r="F3" s="9" t="s">
        <v>0</v>
      </c>
      <c r="G3" s="9" t="s">
        <v>1</v>
      </c>
      <c r="H3" s="9" t="s">
        <v>2</v>
      </c>
    </row>
    <row r="4" spans="1:8" x14ac:dyDescent="0.25">
      <c r="A4" s="10">
        <v>0</v>
      </c>
      <c r="B4" s="10">
        <f>$H$4</f>
        <v>10</v>
      </c>
      <c r="C4" s="10">
        <f>$H$4</f>
        <v>10</v>
      </c>
      <c r="F4" s="15" t="s">
        <v>16</v>
      </c>
      <c r="G4" s="11" t="s">
        <v>3</v>
      </c>
      <c r="H4" s="12">
        <v>10</v>
      </c>
    </row>
    <row r="5" spans="1:8" x14ac:dyDescent="0.25">
      <c r="A5" s="13">
        <f t="shared" ref="A5:A68" si="0">IF(ISNA(A4), NA(), IF(A4 + $H$7 &lt;= $H$8 + 0.000000001, A4 + $H$7, NA()))</f>
        <v>0.5</v>
      </c>
      <c r="B5" s="13">
        <f t="shared" ref="B5:B68" si="1">IF(ISNA(A5), NA(), $H$6 / (1 + (($H$6 - $H$4) / $H$4) * EXP(-$H$5 * A5)))</f>
        <v>10.507323743677079</v>
      </c>
      <c r="C5" s="13">
        <f t="shared" ref="C5:C68" si="2">IF(ISNA(A5), NA(), C4 + $H$5 * C4 * (1 - C4 / $H$6) * $H$7)</f>
        <v>10.494999999999999</v>
      </c>
      <c r="F5" s="15" t="s">
        <v>4</v>
      </c>
      <c r="G5" s="11" t="s">
        <v>5</v>
      </c>
      <c r="H5" s="12">
        <v>0.1</v>
      </c>
    </row>
    <row r="6" spans="1:8" x14ac:dyDescent="0.25">
      <c r="A6" s="10">
        <f t="shared" si="0"/>
        <v>1</v>
      </c>
      <c r="B6" s="10">
        <f t="shared" si="1"/>
        <v>11.04009820811455</v>
      </c>
      <c r="C6" s="10">
        <f t="shared" si="2"/>
        <v>11.014242748749998</v>
      </c>
      <c r="F6" s="15" t="s">
        <v>11</v>
      </c>
      <c r="G6" s="11" t="s">
        <v>12</v>
      </c>
      <c r="H6" s="12">
        <v>1000</v>
      </c>
    </row>
    <row r="7" spans="1:8" x14ac:dyDescent="0.25">
      <c r="A7" s="13">
        <f t="shared" si="0"/>
        <v>1.5</v>
      </c>
      <c r="B7" s="13">
        <f t="shared" si="1"/>
        <v>11.599570350446452</v>
      </c>
      <c r="C7" s="13">
        <f t="shared" si="2"/>
        <v>11.558889209021078</v>
      </c>
      <c r="F7" s="15" t="s">
        <v>17</v>
      </c>
      <c r="G7" s="11" t="s">
        <v>6</v>
      </c>
      <c r="H7" s="12">
        <v>0.5</v>
      </c>
    </row>
    <row r="8" spans="1:8" x14ac:dyDescent="0.25">
      <c r="A8" s="10">
        <f t="shared" si="0"/>
        <v>2</v>
      </c>
      <c r="B8" s="10">
        <f t="shared" si="1"/>
        <v>12.187045127551077</v>
      </c>
      <c r="C8" s="10">
        <f t="shared" si="2"/>
        <v>12.130153273484812</v>
      </c>
      <c r="F8" s="15" t="s">
        <v>15</v>
      </c>
      <c r="G8" s="11" t="s">
        <v>7</v>
      </c>
      <c r="H8" s="12">
        <v>100</v>
      </c>
    </row>
    <row r="9" spans="1:8" x14ac:dyDescent="0.25">
      <c r="A9" s="13">
        <f t="shared" si="0"/>
        <v>2.5</v>
      </c>
      <c r="B9" s="13">
        <f t="shared" si="1"/>
        <v>12.803887870999576</v>
      </c>
      <c r="C9" s="13">
        <f t="shared" si="2"/>
        <v>12.72930390623714</v>
      </c>
    </row>
    <row r="10" spans="1:8" x14ac:dyDescent="0.25">
      <c r="A10" s="10">
        <f t="shared" si="0"/>
        <v>3</v>
      </c>
      <c r="B10" s="10">
        <f t="shared" si="1"/>
        <v>13.451526724760019</v>
      </c>
      <c r="C10" s="10">
        <f t="shared" si="2"/>
        <v>13.35766734265213</v>
      </c>
    </row>
    <row r="11" spans="1:8" x14ac:dyDescent="0.25">
      <c r="A11" s="13">
        <f t="shared" si="0"/>
        <v>3.5</v>
      </c>
      <c r="B11" s="13">
        <f t="shared" si="1"/>
        <v>14.131455143283061</v>
      </c>
      <c r="C11" s="13">
        <f t="shared" si="2"/>
        <v>14.016629345942889</v>
      </c>
    </row>
    <row r="12" spans="1:8" x14ac:dyDescent="0.25">
      <c r="A12" s="10">
        <f t="shared" si="0"/>
        <v>4</v>
      </c>
      <c r="B12" s="10">
        <f t="shared" si="1"/>
        <v>14.845234446979708</v>
      </c>
      <c r="C12" s="10">
        <f t="shared" si="2"/>
        <v>14.707637518328955</v>
      </c>
    </row>
    <row r="13" spans="1:8" x14ac:dyDescent="0.25">
      <c r="A13" s="13">
        <f t="shared" si="0"/>
        <v>4.5</v>
      </c>
      <c r="B13" s="13">
        <f t="shared" si="1"/>
        <v>15.594496431416122</v>
      </c>
      <c r="C13" s="13">
        <f t="shared" si="2"/>
        <v>15.432203664176875</v>
      </c>
    </row>
    <row r="14" spans="1:8" x14ac:dyDescent="0.25">
      <c r="A14" s="10">
        <f t="shared" si="0"/>
        <v>5</v>
      </c>
      <c r="B14" s="10">
        <f t="shared" si="1"/>
        <v>16.380946025790074</v>
      </c>
      <c r="C14" s="10">
        <f t="shared" si="2"/>
        <v>16.191906201889086</v>
      </c>
    </row>
    <row r="15" spans="1:8" x14ac:dyDescent="0.25">
      <c r="A15" s="13">
        <f t="shared" si="0"/>
        <v>5.5</v>
      </c>
      <c r="B15" s="13">
        <f t="shared" si="1"/>
        <v>17.206363995412346</v>
      </c>
      <c r="C15" s="13">
        <f t="shared" si="2"/>
        <v>16.988392620661003</v>
      </c>
    </row>
    <row r="16" spans="1:8" x14ac:dyDescent="0.25">
      <c r="A16" s="10">
        <f t="shared" si="0"/>
        <v>6</v>
      </c>
      <c r="B16" s="10">
        <f t="shared" si="1"/>
        <v>18.072609681988272</v>
      </c>
      <c r="C16" s="10">
        <f t="shared" si="2"/>
        <v>17.823381977502365</v>
      </c>
    </row>
    <row r="17" spans="1:3" x14ac:dyDescent="0.25">
      <c r="A17" s="13">
        <f t="shared" si="0"/>
        <v>6.5</v>
      </c>
      <c r="B17" s="13">
        <f t="shared" si="1"/>
        <v>18.981623774473846</v>
      </c>
      <c r="C17" s="13">
        <f t="shared" si="2"/>
        <v>18.698667429121684</v>
      </c>
    </row>
    <row r="18" spans="1:3" x14ac:dyDescent="0.25">
      <c r="A18" s="10">
        <f t="shared" si="0"/>
        <v>7</v>
      </c>
      <c r="B18" s="10">
        <f t="shared" si="1"/>
        <v>19.935431102160702</v>
      </c>
      <c r="C18" s="10">
        <f t="shared" si="2"/>
        <v>19.616118792396524</v>
      </c>
    </row>
    <row r="19" spans="1:3" x14ac:dyDescent="0.25">
      <c r="A19" s="13">
        <f t="shared" si="0"/>
        <v>7.5</v>
      </c>
      <c r="B19" s="13">
        <f t="shared" si="1"/>
        <v>20.936143440419212</v>
      </c>
      <c r="C19" s="13">
        <f t="shared" si="2"/>
        <v>20.577685126192478</v>
      </c>
    </row>
    <row r="20" spans="1:3" x14ac:dyDescent="0.25">
      <c r="A20" s="10">
        <f t="shared" si="0"/>
        <v>8</v>
      </c>
      <c r="B20" s="10">
        <f t="shared" si="1"/>
        <v>21.9859623181923</v>
      </c>
      <c r="C20" s="10">
        <f t="shared" si="2"/>
        <v>21.585397326244465</v>
      </c>
    </row>
    <row r="21" spans="1:3" x14ac:dyDescent="0.25">
      <c r="A21" s="13">
        <f t="shared" si="0"/>
        <v>8.5</v>
      </c>
      <c r="B21" s="13">
        <f t="shared" si="1"/>
        <v>23.087181814878463</v>
      </c>
      <c r="C21" s="13">
        <f t="shared" si="2"/>
        <v>22.641370723670097</v>
      </c>
    </row>
    <row r="22" spans="1:3" x14ac:dyDescent="0.25">
      <c r="A22" s="10">
        <f t="shared" si="0"/>
        <v>9</v>
      </c>
      <c r="B22" s="10">
        <f t="shared" si="1"/>
        <v>24.242191332665296</v>
      </c>
      <c r="C22" s="10">
        <f t="shared" si="2"/>
        <v>23.747807676441269</v>
      </c>
    </row>
    <row r="23" spans="1:3" x14ac:dyDescent="0.25">
      <c r="A23" s="13">
        <f t="shared" si="0"/>
        <v>9.5</v>
      </c>
      <c r="B23" s="13">
        <f t="shared" si="1"/>
        <v>25.453478328668893</v>
      </c>
      <c r="C23" s="13">
        <f t="shared" si="2"/>
        <v>24.907000141791471</v>
      </c>
    </row>
    <row r="24" spans="1:3" x14ac:dyDescent="0.25">
      <c r="A24" s="10">
        <f t="shared" si="0"/>
        <v>10</v>
      </c>
      <c r="B24" s="10">
        <f t="shared" si="1"/>
        <v>26.723630989395225</v>
      </c>
      <c r="C24" s="10">
        <f t="shared" si="2"/>
        <v>26.121332216077885</v>
      </c>
    </row>
    <row r="25" spans="1:3" x14ac:dyDescent="0.25">
      <c r="A25" s="13">
        <f t="shared" si="0"/>
        <v>10.5</v>
      </c>
      <c r="B25" s="13">
        <f t="shared" si="1"/>
        <v>28.055340828062704</v>
      </c>
      <c r="C25" s="13">
        <f t="shared" si="2"/>
        <v>27.393282627044645</v>
      </c>
    </row>
    <row r="26" spans="1:3" x14ac:dyDescent="0.25">
      <c r="A26" s="10">
        <f t="shared" si="0"/>
        <v>11</v>
      </c>
      <c r="B26" s="10">
        <f t="shared" si="1"/>
        <v>29.451405183207687</v>
      </c>
      <c r="C26" s="10">
        <f t="shared" si="2"/>
        <v>28.725427161742619</v>
      </c>
    </row>
    <row r="27" spans="1:3" x14ac:dyDescent="0.25">
      <c r="A27" s="13">
        <f t="shared" si="0"/>
        <v>11.5</v>
      </c>
      <c r="B27" s="13">
        <f t="shared" si="1"/>
        <v>30.914729594734361</v>
      </c>
      <c r="C27" s="13">
        <f t="shared" si="2"/>
        <v>30.120441011548522</v>
      </c>
    </row>
    <row r="28" spans="1:3" x14ac:dyDescent="0.25">
      <c r="A28" s="10">
        <f t="shared" si="0"/>
        <v>12</v>
      </c>
      <c r="B28" s="10">
        <f t="shared" si="1"/>
        <v>32.448330031166975</v>
      </c>
      <c r="C28" s="10">
        <f t="shared" si="2"/>
        <v>31.581101013789439</v>
      </c>
    </row>
    <row r="29" spans="1:3" x14ac:dyDescent="0.25">
      <c r="A29" s="13">
        <f t="shared" si="0"/>
        <v>12.5</v>
      </c>
      <c r="B29" s="13">
        <f t="shared" si="1"/>
        <v>34.055334939317092</v>
      </c>
      <c r="C29" s="13">
        <f t="shared" si="2"/>
        <v>33.11028776741675</v>
      </c>
    </row>
    <row r="30" spans="1:3" x14ac:dyDescent="0.25">
      <c r="A30" s="10">
        <f t="shared" si="0"/>
        <v>13</v>
      </c>
      <c r="B30" s="10">
        <f t="shared" si="1"/>
        <v>35.738987084894482</v>
      </c>
      <c r="C30" s="10">
        <f t="shared" si="2"/>
        <v>34.710987597985529</v>
      </c>
    </row>
    <row r="31" spans="1:3" x14ac:dyDescent="0.25">
      <c r="A31" s="13">
        <f t="shared" si="0"/>
        <v>13.5</v>
      </c>
      <c r="B31" s="13">
        <f t="shared" si="1"/>
        <v>37.502645149773429</v>
      </c>
      <c r="C31" s="13">
        <f t="shared" si="2"/>
        <v>36.386294344883432</v>
      </c>
    </row>
    <row r="32" spans="1:3" x14ac:dyDescent="0.25">
      <c r="A32" s="10">
        <f t="shared" si="0"/>
        <v>14</v>
      </c>
      <c r="B32" s="10">
        <f t="shared" si="1"/>
        <v>39.349785048685852</v>
      </c>
      <c r="C32" s="10">
        <f t="shared" si="2"/>
        <v>38.13941094131998</v>
      </c>
    </row>
    <row r="33" spans="1:3" x14ac:dyDescent="0.25">
      <c r="A33" s="13">
        <f t="shared" si="0"/>
        <v>14.5</v>
      </c>
      <c r="B33" s="13">
        <f t="shared" si="1"/>
        <v>41.284000925060113</v>
      </c>
      <c r="C33" s="13">
        <f t="shared" si="2"/>
        <v>39.973650755038435</v>
      </c>
    </row>
    <row r="34" spans="1:3" x14ac:dyDescent="0.25">
      <c r="A34" s="10">
        <f t="shared" si="0"/>
        <v>15</v>
      </c>
      <c r="B34" s="10">
        <f t="shared" si="1"/>
        <v>43.309005782576605</v>
      </c>
      <c r="C34" s="10">
        <f t="shared" si="2"/>
        <v>41.892438655056068</v>
      </c>
    </row>
    <row r="35" spans="1:3" x14ac:dyDescent="0.25">
      <c r="A35" s="13">
        <f t="shared" si="0"/>
        <v>15.5</v>
      </c>
      <c r="B35" s="13">
        <f t="shared" si="1"/>
        <v>45.428631705788128</v>
      </c>
      <c r="C35" s="13">
        <f t="shared" si="2"/>
        <v>43.899311766985491</v>
      </c>
    </row>
    <row r="36" spans="1:3" x14ac:dyDescent="0.25">
      <c r="A36" s="10">
        <f t="shared" si="0"/>
        <v>16</v>
      </c>
      <c r="B36" s="10">
        <f t="shared" si="1"/>
        <v>47.646829619880968</v>
      </c>
      <c r="C36" s="10">
        <f t="shared" si="2"/>
        <v>45.997919876654016</v>
      </c>
    </row>
    <row r="37" spans="1:3" x14ac:dyDescent="0.25">
      <c r="A37" s="13">
        <f t="shared" si="0"/>
        <v>16.5</v>
      </c>
      <c r="B37" s="13">
        <f t="shared" si="1"/>
        <v>49.967668536361671</v>
      </c>
      <c r="C37" s="13">
        <f t="shared" si="2"/>
        <v>48.19202543883776</v>
      </c>
    </row>
    <row r="38" spans="1:3" x14ac:dyDescent="0.25">
      <c r="A38" s="10">
        <f t="shared" si="0"/>
        <v>17</v>
      </c>
      <c r="B38" s="10">
        <f t="shared" si="1"/>
        <v>52.395334228183444</v>
      </c>
      <c r="C38" s="10">
        <f t="shared" si="2"/>
        <v>50.485503144984769</v>
      </c>
    </row>
    <row r="39" spans="1:3" x14ac:dyDescent="0.25">
      <c r="A39" s="13">
        <f t="shared" si="0"/>
        <v>17.5</v>
      </c>
      <c r="B39" s="13">
        <f t="shared" si="1"/>
        <v>54.934127274617921</v>
      </c>
      <c r="C39" s="13">
        <f t="shared" si="2"/>
        <v>52.882339000843892</v>
      </c>
    </row>
    <row r="40" spans="1:3" x14ac:dyDescent="0.25">
      <c r="A40" s="10">
        <f t="shared" si="0"/>
        <v>18</v>
      </c>
      <c r="B40" s="10">
        <f t="shared" si="1"/>
        <v>57.588460413085635</v>
      </c>
      <c r="C40" s="10">
        <f t="shared" si="2"/>
        <v>55.386628861976078</v>
      </c>
    </row>
    <row r="41" spans="1:3" x14ac:dyDescent="0.25">
      <c r="A41" s="13">
        <f t="shared" si="0"/>
        <v>18.5</v>
      </c>
      <c r="B41" s="13">
        <f t="shared" si="1"/>
        <v>60.362855132240618</v>
      </c>
      <c r="C41" s="13">
        <f t="shared" si="2"/>
        <v>58.002576372240171</v>
      </c>
    </row>
    <row r="42" spans="1:3" x14ac:dyDescent="0.25">
      <c r="A42" s="10">
        <f t="shared" si="0"/>
        <v>19</v>
      </c>
      <c r="B42" s="10">
        <f t="shared" si="1"/>
        <v>63.261937437931181</v>
      </c>
      <c r="C42" s="10">
        <f t="shared" si="2"/>
        <v>60.734490247561304</v>
      </c>
    </row>
    <row r="43" spans="1:3" x14ac:dyDescent="0.25">
      <c r="A43" s="13">
        <f t="shared" si="0"/>
        <v>19.5</v>
      </c>
      <c r="B43" s="13">
        <f t="shared" si="1"/>
        <v>66.290432721304754</v>
      </c>
      <c r="C43" s="13">
        <f t="shared" si="2"/>
        <v>63.586780844657817</v>
      </c>
    </row>
    <row r="44" spans="1:3" x14ac:dyDescent="0.25">
      <c r="A44" s="10">
        <f t="shared" si="0"/>
        <v>20</v>
      </c>
      <c r="B44" s="10">
        <f t="shared" si="1"/>
        <v>69.453159656380478</v>
      </c>
      <c r="C44" s="10">
        <f t="shared" si="2"/>
        <v>66.563955951981384</v>
      </c>
    </row>
    <row r="45" spans="1:3" x14ac:dyDescent="0.25">
      <c r="A45" s="13">
        <f t="shared" si="0"/>
        <v>20.5</v>
      </c>
      <c r="B45" s="13">
        <f t="shared" si="1"/>
        <v>72.755023052971907</v>
      </c>
      <c r="C45" s="13">
        <f t="shared" si="2"/>
        <v>69.670615737981592</v>
      </c>
    </row>
    <row r="46" spans="1:3" x14ac:dyDescent="0.25">
      <c r="A46" s="10">
        <f t="shared" si="0"/>
        <v>21</v>
      </c>
      <c r="B46" s="10">
        <f t="shared" si="1"/>
        <v>76.201005590011135</v>
      </c>
      <c r="C46" s="10">
        <f t="shared" si="2"/>
        <v>72.911446790015191</v>
      </c>
    </row>
    <row r="47" spans="1:3" x14ac:dyDescent="0.25">
      <c r="A47" s="13">
        <f t="shared" si="0"/>
        <v>21.5</v>
      </c>
      <c r="B47" s="13">
        <f t="shared" si="1"/>
        <v>79.796158354223252</v>
      </c>
      <c r="C47" s="13">
        <f t="shared" si="2"/>
        <v>76.29121517586529</v>
      </c>
    </row>
    <row r="48" spans="1:3" x14ac:dyDescent="0.25">
      <c r="A48" s="10">
        <f t="shared" si="0"/>
        <v>22</v>
      </c>
      <c r="B48" s="10">
        <f t="shared" si="1"/>
        <v>83.545590109844312</v>
      </c>
      <c r="C48" s="10">
        <f t="shared" si="2"/>
        <v>79.814758459008047</v>
      </c>
    </row>
    <row r="49" spans="1:3" x14ac:dyDescent="0.25">
      <c r="A49" s="13">
        <f t="shared" si="0"/>
        <v>22.5</v>
      </c>
      <c r="B49" s="13">
        <f t="shared" si="1"/>
        <v>87.454455226807411</v>
      </c>
      <c r="C49" s="13">
        <f t="shared" si="2"/>
        <v>83.486976598564965</v>
      </c>
    </row>
    <row r="50" spans="1:3" x14ac:dyDescent="0.25">
      <c r="A50" s="10">
        <f t="shared" si="0"/>
        <v>23</v>
      </c>
      <c r="B50" s="10">
        <f t="shared" si="1"/>
        <v>91.527940197674241</v>
      </c>
      <c r="C50" s="10">
        <f t="shared" si="2"/>
        <v>87.312821665414745</v>
      </c>
    </row>
    <row r="51" spans="1:3" x14ac:dyDescent="0.25">
      <c r="A51" s="13">
        <f t="shared" si="0"/>
        <v>23.5</v>
      </c>
      <c r="B51" s="13">
        <f t="shared" si="1"/>
        <v>95.771248677709394</v>
      </c>
      <c r="C51" s="13">
        <f t="shared" si="2"/>
        <v>91.297286307326658</v>
      </c>
    </row>
    <row r="52" spans="1:3" x14ac:dyDescent="0.25">
      <c r="A52" s="10">
        <f t="shared" si="0"/>
        <v>24</v>
      </c>
      <c r="B52" s="10">
        <f t="shared" si="1"/>
        <v>100.18958498803272</v>
      </c>
      <c r="C52" s="10">
        <f t="shared" si="2"/>
        <v>95.445390898338886</v>
      </c>
    </row>
    <row r="53" spans="1:3" x14ac:dyDescent="0.25">
      <c r="A53" s="13">
        <f t="shared" si="0"/>
        <v>24.5</v>
      </c>
      <c r="B53" s="13">
        <f t="shared" si="1"/>
        <v>104.78813602888421</v>
      </c>
      <c r="C53" s="13">
        <f t="shared" si="2"/>
        <v>99.762169311068988</v>
      </c>
    </row>
    <row r="54" spans="1:3" x14ac:dyDescent="0.25">
      <c r="A54" s="10">
        <f t="shared" si="0"/>
        <v>25</v>
      </c>
      <c r="B54" s="10">
        <f t="shared" si="1"/>
        <v>109.57205155884768</v>
      </c>
      <c r="C54" s="10">
        <f t="shared" si="2"/>
        <v>104.25265325533992</v>
      </c>
    </row>
    <row r="55" spans="1:3" x14ac:dyDescent="0.25">
      <c r="A55" s="13">
        <f t="shared" si="0"/>
        <v>25.5</v>
      </c>
      <c r="B55" s="13">
        <f t="shared" si="1"/>
        <v>114.54642280653479</v>
      </c>
      <c r="C55" s="13">
        <f t="shared" si="2"/>
        <v>108.92185513256801</v>
      </c>
    </row>
    <row r="56" spans="1:3" x14ac:dyDescent="0.25">
      <c r="A56" s="10">
        <f t="shared" si="0"/>
        <v>26</v>
      </c>
      <c r="B56" s="10">
        <f t="shared" si="1"/>
        <v>119.71625939386274</v>
      </c>
      <c r="C56" s="10">
        <f t="shared" si="2"/>
        <v>113.7747493629204</v>
      </c>
    </row>
    <row r="57" spans="1:3" x14ac:dyDescent="0.25">
      <c r="A57" s="13">
        <f t="shared" si="0"/>
        <v>26.5</v>
      </c>
      <c r="B57" s="13">
        <f t="shared" si="1"/>
        <v>125.08646456477345</v>
      </c>
      <c r="C57" s="13">
        <f t="shared" si="2"/>
        <v>118.81625215143666</v>
      </c>
    </row>
    <row r="58" spans="1:3" x14ac:dyDescent="0.25">
      <c r="A58" s="10">
        <f t="shared" si="0"/>
        <v>27</v>
      </c>
      <c r="B58" s="10">
        <f t="shared" si="1"/>
        <v>130.66180873012109</v>
      </c>
      <c r="C58" s="10">
        <f t="shared" si="2"/>
        <v>124.0511996702428</v>
      </c>
    </row>
    <row r="59" spans="1:3" x14ac:dyDescent="0.25">
      <c r="A59" s="13">
        <f t="shared" si="0"/>
        <v>27.5</v>
      </c>
      <c r="B59" s="13">
        <f t="shared" si="1"/>
        <v>136.44690135856561</v>
      </c>
      <c r="C59" s="13">
        <f t="shared" si="2"/>
        <v>129.48432464677362</v>
      </c>
    </row>
    <row r="60" spans="1:3" x14ac:dyDescent="0.25">
      <c r="A60" s="10">
        <f t="shared" si="0"/>
        <v>28</v>
      </c>
      <c r="B60" s="10">
        <f t="shared" si="1"/>
        <v>142.44616126465698</v>
      </c>
      <c r="C60" s="10">
        <f t="shared" si="2"/>
        <v>135.12023136265074</v>
      </c>
    </row>
    <row r="61" spans="1:3" x14ac:dyDescent="0.25">
      <c r="A61" s="13">
        <f t="shared" si="0"/>
        <v>28.5</v>
      </c>
      <c r="B61" s="13">
        <f t="shared" si="1"/>
        <v>148.66378536886583</v>
      </c>
      <c r="C61" s="13">
        <f t="shared" si="2"/>
        <v>140.96336908460847</v>
      </c>
    </row>
    <row r="62" spans="1:3" x14ac:dyDescent="0.25">
      <c r="A62" s="10">
        <f t="shared" si="0"/>
        <v>29</v>
      </c>
      <c r="B62" s="10">
        <f t="shared" si="1"/>
        <v>155.10371603002585</v>
      </c>
      <c r="C62" s="10">
        <f t="shared" si="2"/>
        <v>147.01800396765472</v>
      </c>
    </row>
    <row r="63" spans="1:3" x14ac:dyDescent="0.25">
      <c r="A63" s="13">
        <f t="shared" si="0"/>
        <v>29.5</v>
      </c>
      <c r="B63" s="13">
        <f t="shared" si="1"/>
        <v>161.76960707836551</v>
      </c>
      <c r="C63" s="13">
        <f t="shared" si="2"/>
        <v>153.28818949150579</v>
      </c>
    </row>
    <row r="64" spans="1:3" x14ac:dyDescent="0.25">
      <c r="A64" s="10">
        <f t="shared" si="0"/>
        <v>30</v>
      </c>
      <c r="B64" s="10">
        <f t="shared" si="1"/>
        <v>168.66478870682008</v>
      </c>
      <c r="C64" s="10">
        <f t="shared" si="2"/>
        <v>159.77773551420188</v>
      </c>
    </row>
    <row r="65" spans="1:3" x14ac:dyDescent="0.25">
      <c r="A65" s="13">
        <f t="shared" si="0"/>
        <v>30.5</v>
      </c>
      <c r="B65" s="13">
        <f t="shared" si="1"/>
        <v>175.7922314093465</v>
      </c>
      <c r="C65" s="13">
        <f t="shared" si="2"/>
        <v>166.49017605160967</v>
      </c>
    </row>
    <row r="66" spans="1:3" x14ac:dyDescent="0.25">
      <c r="A66" s="10">
        <f t="shared" si="0"/>
        <v>31</v>
      </c>
      <c r="B66" s="10">
        <f t="shared" si="1"/>
        <v>183.15450918715888</v>
      </c>
      <c r="C66" s="10">
        <f t="shared" si="2"/>
        <v>173.42873591810536</v>
      </c>
    </row>
    <row r="67" spans="1:3" x14ac:dyDescent="0.25">
      <c r="A67" s="13">
        <f t="shared" si="0"/>
        <v>31.5</v>
      </c>
      <c r="B67" s="13">
        <f t="shared" si="1"/>
        <v>190.75376227672089</v>
      </c>
      <c r="C67" s="13">
        <f t="shared" si="2"/>
        <v>180.59629639190302</v>
      </c>
    </row>
    <row r="68" spans="1:3" x14ac:dyDescent="0.25">
      <c r="A68" s="10">
        <f t="shared" si="0"/>
        <v>32</v>
      </c>
      <c r="B68" s="10">
        <f t="shared" si="1"/>
        <v>198.59165968644112</v>
      </c>
      <c r="C68" s="10">
        <f t="shared" si="2"/>
        <v>187.99536009797458</v>
      </c>
    </row>
    <row r="69" spans="1:3" x14ac:dyDescent="0.25">
      <c r="A69" s="13">
        <f t="shared" ref="A69:A132" si="3">IF(ISNA(A68), NA(), IF(A68 + $H$7 &lt;= $H$8 + 0.000000001, A68 + $H$7, NA()))</f>
        <v>32.5</v>
      </c>
      <c r="B69" s="13">
        <f t="shared" ref="B69:B132" si="4">IF(ISNA(A69), NA(), $H$6 / (1 + (($H$6 - $H$4) / $H$4) * EXP(-$H$5 * A69)))</f>
        <v>206.66936186171716</v>
      </c>
      <c r="C69" s="13">
        <f t="shared" ref="C69:C132" si="5">IF(ISNA(A69), NA(), C68 + $H$5 * C68 * (1 - C68 / $H$6) * $H$7)</f>
        <v>195.62801533195497</v>
      </c>
    </row>
    <row r="70" spans="1:3" x14ac:dyDescent="0.25">
      <c r="A70" s="10">
        <f t="shared" si="3"/>
        <v>33</v>
      </c>
      <c r="B70" s="10">
        <f t="shared" si="4"/>
        <v>214.98748382955858</v>
      </c>
      <c r="C70" s="10">
        <f t="shared" si="5"/>
        <v>203.49590007941674</v>
      </c>
    </row>
    <row r="71" spans="1:3" x14ac:dyDescent="0.25">
      <c r="A71" s="13">
        <f t="shared" si="3"/>
        <v>33.5</v>
      </c>
      <c r="B71" s="13">
        <f t="shared" si="4"/>
        <v>223.54605920373203</v>
      </c>
      <c r="C71" s="13">
        <f t="shared" si="5"/>
        <v>211.60016601593099</v>
      </c>
    </row>
    <row r="72" spans="1:3" x14ac:dyDescent="0.25">
      <c r="A72" s="10">
        <f t="shared" si="3"/>
        <v>34</v>
      </c>
      <c r="B72" s="10">
        <f t="shared" si="4"/>
        <v>232.34450545837632</v>
      </c>
      <c r="C72" s="10">
        <f t="shared" si="5"/>
        <v>219.94144280382906</v>
      </c>
    </row>
    <row r="73" spans="1:3" x14ac:dyDescent="0.25">
      <c r="A73" s="13">
        <f t="shared" si="3"/>
        <v>34.5</v>
      </c>
      <c r="B73" s="13">
        <f t="shared" si="4"/>
        <v>241.38159090144242</v>
      </c>
      <c r="C73" s="13">
        <f t="shared" si="5"/>
        <v>228.51980303088902</v>
      </c>
    </row>
    <row r="74" spans="1:3" x14ac:dyDescent="0.25">
      <c r="A74" s="10">
        <f t="shared" si="3"/>
        <v>35</v>
      </c>
      <c r="B74" s="10">
        <f t="shared" si="4"/>
        <v>250.6554037982348</v>
      </c>
      <c r="C74" s="10">
        <f t="shared" si="5"/>
        <v>237.33472816356965</v>
      </c>
    </row>
    <row r="75" spans="1:3" x14ac:dyDescent="0.25">
      <c r="A75" s="13">
        <f t="shared" si="3"/>
        <v>35.5</v>
      </c>
      <c r="B75" s="13">
        <f t="shared" si="4"/>
        <v>260.16332410880943</v>
      </c>
      <c r="C75" s="13">
        <f t="shared" si="5"/>
        <v>246.38507591212436</v>
      </c>
    </row>
    <row r="76" spans="1:3" x14ac:dyDescent="0.25">
      <c r="A76" s="10">
        <f t="shared" si="3"/>
        <v>36</v>
      </c>
      <c r="B76" s="10">
        <f t="shared" si="4"/>
        <v>269.90199831015804</v>
      </c>
      <c r="C76" s="10">
        <f t="shared" si="5"/>
        <v>255.66904942611941</v>
      </c>
    </row>
    <row r="77" spans="1:3" x14ac:dyDescent="0.25">
      <c r="A77" s="13">
        <f t="shared" si="3"/>
        <v>36.5</v>
      </c>
      <c r="B77" s="13">
        <f t="shared" si="4"/>
        <v>279.86731777409551</v>
      </c>
      <c r="C77" s="13">
        <f t="shared" si="5"/>
        <v>265.18416875570261</v>
      </c>
    </row>
    <row r="78" spans="1:3" x14ac:dyDescent="0.25">
      <c r="A78" s="10">
        <f t="shared" si="3"/>
        <v>37</v>
      </c>
      <c r="B78" s="10">
        <f t="shared" si="4"/>
        <v>290.05440116381357</v>
      </c>
      <c r="C78" s="10">
        <f t="shared" si="5"/>
        <v>274.92724502555512</v>
      </c>
    </row>
    <row r="79" spans="1:3" x14ac:dyDescent="0.25">
      <c r="A79" s="13">
        <f t="shared" si="3"/>
        <v>37.5</v>
      </c>
      <c r="B79" s="13">
        <f t="shared" si="4"/>
        <v>300.45758129551268</v>
      </c>
      <c r="C79" s="13">
        <f t="shared" si="5"/>
        <v>284.89435777396579</v>
      </c>
    </row>
    <row r="80" spans="1:3" x14ac:dyDescent="0.25">
      <c r="A80" s="10">
        <f t="shared" si="3"/>
        <v>38</v>
      </c>
      <c r="B80" s="10">
        <f t="shared" si="4"/>
        <v>311.07039688587082</v>
      </c>
      <c r="C80" s="10">
        <f t="shared" si="5"/>
        <v>295.08083590809207</v>
      </c>
    </row>
    <row r="81" spans="1:3" x14ac:dyDescent="0.25">
      <c r="A81" s="13">
        <f t="shared" si="3"/>
        <v>38.5</v>
      </c>
      <c r="B81" s="13">
        <f t="shared" si="4"/>
        <v>321.88558957104181</v>
      </c>
      <c r="C81" s="13">
        <f t="shared" si="5"/>
        <v>305.48124271748577</v>
      </c>
    </row>
    <row r="82" spans="1:3" x14ac:dyDescent="0.25">
      <c r="A82" s="10">
        <f t="shared" si="3"/>
        <v>39</v>
      </c>
      <c r="B82" s="10">
        <f t="shared" si="4"/>
        <v>332.89510653830052</v>
      </c>
      <c r="C82" s="10">
        <f t="shared" si="5"/>
        <v>316.08936537074908</v>
      </c>
    </row>
    <row r="83" spans="1:3" x14ac:dyDescent="0.25">
      <c r="A83" s="13">
        <f t="shared" si="3"/>
        <v>39.5</v>
      </c>
      <c r="B83" s="13">
        <f t="shared" si="4"/>
        <v>344.09010905750347</v>
      </c>
      <c r="C83" s="13">
        <f t="shared" si="5"/>
        <v>326.89820929426241</v>
      </c>
    </row>
    <row r="84" spans="1:3" x14ac:dyDescent="0.25">
      <c r="A84" s="10">
        <f t="shared" si="3"/>
        <v>40</v>
      </c>
      <c r="B84" s="10">
        <f t="shared" si="4"/>
        <v>355.46098713664691</v>
      </c>
      <c r="C84" s="10">
        <f t="shared" si="5"/>
        <v>337.89999779698576</v>
      </c>
    </row>
    <row r="85" spans="1:3" x14ac:dyDescent="0.25">
      <c r="A85" s="13">
        <f t="shared" si="3"/>
        <v>40.5</v>
      </c>
      <c r="B85" s="13">
        <f t="shared" si="4"/>
        <v>366.99738045464233</v>
      </c>
      <c r="C85" s="13">
        <f t="shared" si="5"/>
        <v>349.08617726127488</v>
      </c>
    </row>
    <row r="86" spans="1:3" x14ac:dyDescent="0.25">
      <c r="A86" s="10">
        <f t="shared" si="3"/>
        <v>41</v>
      </c>
      <c r="B86" s="10">
        <f t="shared" si="4"/>
        <v>378.68820564599628</v>
      </c>
      <c r="C86" s="10">
        <f t="shared" si="5"/>
        <v>360.44742816659414</v>
      </c>
    </row>
    <row r="87" spans="1:3" x14ac:dyDescent="0.25">
      <c r="A87" s="13">
        <f t="shared" si="3"/>
        <v>41.5</v>
      </c>
      <c r="B87" s="13">
        <f t="shared" si="4"/>
        <v>390.5216899275996</v>
      </c>
      <c r="C87" s="13">
        <f t="shared" si="5"/>
        <v>371.97368215132826</v>
      </c>
    </row>
    <row r="88" spans="1:3" x14ac:dyDescent="0.25">
      <c r="A88" s="10">
        <f t="shared" si="3"/>
        <v>42</v>
      </c>
      <c r="B88" s="10">
        <f t="shared" si="4"/>
        <v>402.48541096883469</v>
      </c>
      <c r="C88" s="10">
        <f t="shared" si="5"/>
        <v>383.65414524823382</v>
      </c>
    </row>
    <row r="89" spans="1:3" x14ac:dyDescent="0.25">
      <c r="A89" s="13">
        <f t="shared" si="3"/>
        <v>42.5</v>
      </c>
      <c r="B89" s="13">
        <f t="shared" si="4"/>
        <v>414.56634281440233</v>
      </c>
      <c r="C89" s="13">
        <f t="shared" si="5"/>
        <v>395.47732735233785</v>
      </c>
    </row>
    <row r="90" spans="1:3" x14ac:dyDescent="0.25">
      <c r="A90" s="10">
        <f t="shared" si="3"/>
        <v>43</v>
      </c>
      <c r="B90" s="10">
        <f t="shared" si="4"/>
        <v>426.75090757660985</v>
      </c>
      <c r="C90" s="10">
        <f t="shared" si="5"/>
        <v>407.43107789746733</v>
      </c>
    </row>
    <row r="91" spans="1:3" x14ac:dyDescent="0.25">
      <c r="A91" s="13">
        <f t="shared" si="3"/>
        <v>43.5</v>
      </c>
      <c r="B91" s="13">
        <f t="shared" si="4"/>
        <v>439.02503252237204</v>
      </c>
      <c r="C91" s="13">
        <f t="shared" si="5"/>
        <v>419.50262763050608</v>
      </c>
    </row>
    <row r="92" spans="1:3" x14ac:dyDescent="0.25">
      <c r="A92" s="10">
        <f t="shared" si="3"/>
        <v>44</v>
      </c>
      <c r="B92" s="10">
        <f t="shared" si="4"/>
        <v>451.37421209200659</v>
      </c>
      <c r="C92" s="10">
        <f t="shared" si="5"/>
        <v>431.67863628258641</v>
      </c>
    </row>
    <row r="93" spans="1:3" x14ac:dyDescent="0.25">
      <c r="A93" s="13">
        <f t="shared" si="3"/>
        <v>44.5</v>
      </c>
      <c r="B93" s="13">
        <f t="shared" si="4"/>
        <v>463.78357430419248</v>
      </c>
      <c r="C93" s="13">
        <f t="shared" si="5"/>
        <v>443.94524584557604</v>
      </c>
    </row>
    <row r="94" spans="1:3" x14ac:dyDescent="0.25">
      <c r="A94" s="10">
        <f t="shared" si="3"/>
        <v>45</v>
      </c>
      <c r="B94" s="10">
        <f t="shared" si="4"/>
        <v>476.23795092626773</v>
      </c>
      <c r="C94" s="10">
        <f t="shared" si="5"/>
        <v>456.28813907241039</v>
      </c>
    </row>
    <row r="95" spans="1:3" x14ac:dyDescent="0.25">
      <c r="A95" s="13">
        <f t="shared" si="3"/>
        <v>45.5</v>
      </c>
      <c r="B95" s="13">
        <f t="shared" si="4"/>
        <v>488.72195072331982</v>
      </c>
      <c r="C95" s="13">
        <f t="shared" si="5"/>
        <v>468.69260273312273</v>
      </c>
    </row>
    <row r="96" spans="1:3" x14ac:dyDescent="0.25">
      <c r="A96" s="10">
        <f t="shared" si="3"/>
        <v>46</v>
      </c>
      <c r="B96" s="10">
        <f t="shared" si="4"/>
        <v>501.22003504500469</v>
      </c>
      <c r="C96" s="10">
        <f t="shared" si="5"/>
        <v>481.14359507694144</v>
      </c>
    </row>
    <row r="97" spans="1:3" x14ac:dyDescent="0.25">
      <c r="A97" s="13">
        <f t="shared" si="3"/>
        <v>46.5</v>
      </c>
      <c r="B97" s="13">
        <f t="shared" si="4"/>
        <v>513.71659496716359</v>
      </c>
      <c r="C97" s="13">
        <f t="shared" si="5"/>
        <v>493.62581687661032</v>
      </c>
    </row>
    <row r="98" spans="1:3" x14ac:dyDescent="0.25">
      <c r="A98" s="10">
        <f t="shared" si="3"/>
        <v>47</v>
      </c>
      <c r="B98" s="10">
        <f t="shared" si="4"/>
        <v>526.19602917725979</v>
      </c>
      <c r="C98" s="10">
        <f t="shared" si="5"/>
        <v>506.12378536608577</v>
      </c>
    </row>
    <row r="99" spans="1:3" x14ac:dyDescent="0.25">
      <c r="A99" s="13">
        <f t="shared" si="3"/>
        <v>47.5</v>
      </c>
      <c r="B99" s="13">
        <f t="shared" si="4"/>
        <v>538.64282177916539</v>
      </c>
      <c r="C99" s="13">
        <f t="shared" si="5"/>
        <v>518.62191032872522</v>
      </c>
    </row>
    <row r="100" spans="1:3" x14ac:dyDescent="0.25">
      <c r="A100" s="10">
        <f t="shared" si="3"/>
        <v>48</v>
      </c>
      <c r="B100" s="10">
        <f t="shared" si="4"/>
        <v>551.04161919430044</v>
      </c>
      <c r="C100" s="10">
        <f t="shared" si="5"/>
        <v>531.10457155151062</v>
      </c>
    </row>
    <row r="101" spans="1:3" x14ac:dyDescent="0.25">
      <c r="A101" s="13">
        <f t="shared" si="3"/>
        <v>48.5</v>
      </c>
      <c r="B101" s="13">
        <f t="shared" si="4"/>
        <v>563.37730535249034</v>
      </c>
      <c r="C101" s="13">
        <f t="shared" si="5"/>
        <v>543.55619683294049</v>
      </c>
    </row>
    <row r="102" spans="1:3" x14ac:dyDescent="0.25">
      <c r="A102" s="10">
        <f t="shared" si="3"/>
        <v>49</v>
      </c>
      <c r="B102" s="10">
        <f t="shared" si="4"/>
        <v>575.6350743967339</v>
      </c>
      <c r="C102" s="10">
        <f t="shared" si="5"/>
        <v>555.96133971881295</v>
      </c>
    </row>
    <row r="103" spans="1:3" x14ac:dyDescent="0.25">
      <c r="A103" s="13">
        <f t="shared" si="3"/>
        <v>49.5</v>
      </c>
      <c r="B103" s="13">
        <f t="shared" si="4"/>
        <v>587.80050017050416</v>
      </c>
      <c r="C103" s="13">
        <f t="shared" si="5"/>
        <v>568.30475614165675</v>
      </c>
    </row>
    <row r="104" spans="1:3" x14ac:dyDescent="0.25">
      <c r="A104" s="10">
        <f t="shared" si="3"/>
        <v>50</v>
      </c>
      <c r="B104" s="10">
        <f t="shared" si="4"/>
        <v>599.85960181303471</v>
      </c>
      <c r="C104" s="10">
        <f t="shared" si="5"/>
        <v>580.57147915607823</v>
      </c>
    </row>
    <row r="105" spans="1:3" x14ac:dyDescent="0.25">
      <c r="A105" s="13">
        <f t="shared" si="3"/>
        <v>50.5</v>
      </c>
      <c r="B105" s="13">
        <f t="shared" si="4"/>
        <v>611.79890485576641</v>
      </c>
      <c r="C105" s="13">
        <f t="shared" si="5"/>
        <v>592.74689099340833</v>
      </c>
    </row>
    <row r="106" spans="1:3" x14ac:dyDescent="0.25">
      <c r="A106" s="10">
        <f t="shared" si="3"/>
        <v>51</v>
      </c>
      <c r="B106" s="10">
        <f t="shared" si="4"/>
        <v>623.6054972899326</v>
      </c>
      <c r="C106" s="10">
        <f t="shared" si="5"/>
        <v>604.81679170396114</v>
      </c>
    </row>
    <row r="107" spans="1:3" x14ac:dyDescent="0.25">
      <c r="A107" s="13">
        <f t="shared" si="3"/>
        <v>51.5</v>
      </c>
      <c r="B107" s="13">
        <f t="shared" si="4"/>
        <v>635.26708015922259</v>
      </c>
      <c r="C107" s="13">
        <f t="shared" si="5"/>
        <v>616.76746371280558</v>
      </c>
    </row>
    <row r="108" spans="1:3" x14ac:dyDescent="0.25">
      <c r="A108" s="10">
        <f t="shared" si="3"/>
        <v>52</v>
      </c>
      <c r="B108" s="10">
        <f t="shared" si="4"/>
        <v>646.7720123204349</v>
      </c>
      <c r="C108" s="10">
        <f t="shared" si="5"/>
        <v>628.58573168370947</v>
      </c>
    </row>
    <row r="109" spans="1:3" x14ac:dyDescent="0.25">
      <c r="A109" s="13">
        <f t="shared" si="3"/>
        <v>52.5</v>
      </c>
      <c r="B109" s="13">
        <f t="shared" si="4"/>
        <v>658.10934910692458</v>
      </c>
      <c r="C109" s="13">
        <f t="shared" si="5"/>
        <v>640.2590171640777</v>
      </c>
    </row>
    <row r="110" spans="1:3" x14ac:dyDescent="0.25">
      <c r="A110" s="10">
        <f t="shared" si="3"/>
        <v>53</v>
      </c>
      <c r="B110" s="10">
        <f t="shared" si="4"/>
        <v>669.26887472229976</v>
      </c>
      <c r="C110" s="10">
        <f t="shared" si="5"/>
        <v>651.77538756928607</v>
      </c>
    </row>
    <row r="111" spans="1:3" x14ac:dyDescent="0.25">
      <c r="A111" s="13">
        <f t="shared" si="3"/>
        <v>53.5</v>
      </c>
      <c r="B111" s="13">
        <f t="shared" si="4"/>
        <v>680.24112828322188</v>
      </c>
      <c r="C111" s="13">
        <f t="shared" si="5"/>
        <v>663.12359915569573</v>
      </c>
    </row>
    <row r="112" spans="1:3" x14ac:dyDescent="0.25">
      <c r="A112" s="10">
        <f t="shared" si="3"/>
        <v>54</v>
      </c>
      <c r="B112" s="10">
        <f t="shared" si="4"/>
        <v>691.01742351841756</v>
      </c>
      <c r="C112" s="10">
        <f t="shared" si="5"/>
        <v>674.29313372562035</v>
      </c>
    </row>
    <row r="113" spans="1:3" x14ac:dyDescent="0.25">
      <c r="A113" s="13">
        <f t="shared" si="3"/>
        <v>54.5</v>
      </c>
      <c r="B113" s="13">
        <f t="shared" si="4"/>
        <v>701.58986221441023</v>
      </c>
      <c r="C113" s="13">
        <f t="shared" si="5"/>
        <v>685.27422890242553</v>
      </c>
    </row>
    <row r="114" spans="1:3" x14ac:dyDescent="0.25">
      <c r="A114" s="10">
        <f t="shared" si="3"/>
        <v>55</v>
      </c>
      <c r="B114" s="10">
        <f t="shared" si="4"/>
        <v>711.95134157559551</v>
      </c>
      <c r="C114" s="10">
        <f t="shared" si="5"/>
        <v>696.05790190765617</v>
      </c>
    </row>
    <row r="115" spans="1:3" x14ac:dyDescent="0.25">
      <c r="A115" s="13">
        <f t="shared" si="3"/>
        <v>55.5</v>
      </c>
      <c r="B115" s="13">
        <f t="shared" si="4"/>
        <v>722.09555573588784</v>
      </c>
      <c r="C115" s="13">
        <f t="shared" si="5"/>
        <v>706.63596686263452</v>
      </c>
    </row>
    <row r="116" spans="1:3" x14ac:dyDescent="0.25">
      <c r="A116" s="10">
        <f t="shared" si="3"/>
        <v>56</v>
      </c>
      <c r="B116" s="10">
        <f t="shared" si="4"/>
        <v>732.01699172036103</v>
      </c>
      <c r="C116" s="10">
        <f t="shared" si="5"/>
        <v>717.00104572257169</v>
      </c>
    </row>
    <row r="117" spans="1:3" x14ac:dyDescent="0.25">
      <c r="A117" s="13">
        <f t="shared" si="3"/>
        <v>56.5</v>
      </c>
      <c r="B117" s="13">
        <f t="shared" si="4"/>
        <v>741.71092020744527</v>
      </c>
      <c r="C117" s="13">
        <f t="shared" si="5"/>
        <v>727.14657303033721</v>
      </c>
    </row>
    <row r="118" spans="1:3" x14ac:dyDescent="0.25">
      <c r="A118" s="10">
        <f t="shared" si="3"/>
        <v>57</v>
      </c>
      <c r="B118" s="10">
        <f t="shared" si="4"/>
        <v>751.17338148496299</v>
      </c>
      <c r="C118" s="10">
        <f t="shared" si="5"/>
        <v>737.06679474836585</v>
      </c>
    </row>
    <row r="119" spans="1:3" x14ac:dyDescent="0.25">
      <c r="A119" s="13">
        <f t="shared" si="3"/>
        <v>57.5</v>
      </c>
      <c r="B119" s="13">
        <f t="shared" si="4"/>
        <v>760.40116702650539</v>
      </c>
      <c r="C119" s="13">
        <f t="shared" si="5"/>
        <v>746.75676148975265</v>
      </c>
    </row>
    <row r="120" spans="1:3" x14ac:dyDescent="0.25">
      <c r="A120" s="10">
        <f t="shared" si="3"/>
        <v>58</v>
      </c>
      <c r="B120" s="10">
        <f t="shared" si="4"/>
        <v>769.39179713849308</v>
      </c>
      <c r="C120" s="10">
        <f t="shared" si="5"/>
        <v>756.21231652270717</v>
      </c>
    </row>
    <row r="121" spans="1:3" x14ac:dyDescent="0.25">
      <c r="A121" s="13">
        <f t="shared" si="3"/>
        <v>58.5</v>
      </c>
      <c r="B121" s="13">
        <f t="shared" si="4"/>
        <v>778.1434951430914</v>
      </c>
      <c r="C121" s="13">
        <f t="shared" si="5"/>
        <v>765.43007896581059</v>
      </c>
    </row>
    <row r="122" spans="1:3" x14ac:dyDescent="0.25">
      <c r="A122" s="10">
        <f t="shared" si="3"/>
        <v>59</v>
      </c>
      <c r="B122" s="10">
        <f t="shared" si="4"/>
        <v>786.6551585685072</v>
      </c>
      <c r="C122" s="10">
        <f t="shared" si="5"/>
        <v>774.40742262482081</v>
      </c>
    </row>
    <row r="123" spans="1:3" x14ac:dyDescent="0.25">
      <c r="A123" s="13">
        <f t="shared" si="3"/>
        <v>59.5</v>
      </c>
      <c r="B123" s="13">
        <f t="shared" si="4"/>
        <v>794.92632781672467</v>
      </c>
      <c r="C123" s="13">
        <f t="shared" si="5"/>
        <v>783.14245094524097</v>
      </c>
    </row>
    <row r="124" spans="1:3" x14ac:dyDescent="0.25">
      <c r="A124" s="10">
        <f t="shared" si="3"/>
        <v>60</v>
      </c>
      <c r="B124" s="10">
        <f t="shared" si="4"/>
        <v>802.95715277028307</v>
      </c>
      <c r="C124" s="10">
        <f t="shared" si="5"/>
        <v>791.63396856887709</v>
      </c>
    </row>
    <row r="125" spans="1:3" x14ac:dyDescent="0.25">
      <c r="A125" s="13">
        <f t="shared" si="3"/>
        <v>60.5</v>
      </c>
      <c r="B125" s="13">
        <f t="shared" si="4"/>
        <v>810.7483577850694</v>
      </c>
      <c r="C125" s="13">
        <f t="shared" si="5"/>
        <v>799.88144998771543</v>
      </c>
    </row>
    <row r="126" spans="1:3" x14ac:dyDescent="0.25">
      <c r="A126" s="10">
        <f t="shared" si="3"/>
        <v>61</v>
      </c>
      <c r="B126" s="10">
        <f t="shared" si="4"/>
        <v>818.30120549624041</v>
      </c>
      <c r="C126" s="10">
        <f t="shared" si="5"/>
        <v>807.88500578537867</v>
      </c>
    </row>
    <row r="127" spans="1:3" x14ac:dyDescent="0.25">
      <c r="A127" s="13">
        <f t="shared" si="3"/>
        <v>61.5</v>
      </c>
      <c r="B127" s="13">
        <f t="shared" si="4"/>
        <v>825.61745984020274</v>
      </c>
      <c r="C127" s="13">
        <f t="shared" si="5"/>
        <v>815.64534694600559</v>
      </c>
    </row>
    <row r="128" spans="1:3" x14ac:dyDescent="0.25">
      <c r="A128" s="10">
        <f t="shared" si="3"/>
        <v>62</v>
      </c>
      <c r="B128" s="10">
        <f t="shared" si="4"/>
        <v>832.69934866798008</v>
      </c>
      <c r="C128" s="10">
        <f t="shared" si="5"/>
        <v>823.16374769357242</v>
      </c>
    </row>
    <row r="129" spans="1:3" x14ac:dyDescent="0.25">
      <c r="A129" s="13">
        <f t="shared" si="3"/>
        <v>62.5</v>
      </c>
      <c r="B129" s="13">
        <f t="shared" si="4"/>
        <v>839.54952629515481</v>
      </c>
      <c r="C129" s="13">
        <f t="shared" si="5"/>
        <v>830.4420073024047</v>
      </c>
    </row>
    <row r="130" spans="1:3" x14ac:dyDescent="0.25">
      <c r="A130" s="10">
        <f t="shared" si="3"/>
        <v>63</v>
      </c>
      <c r="B130" s="10">
        <f t="shared" si="4"/>
        <v>846.17103630171118</v>
      </c>
      <c r="C130" s="10">
        <f t="shared" si="5"/>
        <v>837.48241129290261</v>
      </c>
    </row>
    <row r="131" spans="1:3" x14ac:dyDescent="0.25">
      <c r="A131" s="13">
        <f t="shared" si="3"/>
        <v>63.5</v>
      </c>
      <c r="B131" s="13">
        <f t="shared" si="4"/>
        <v>852.56727486227351</v>
      </c>
      <c r="C131" s="13">
        <f t="shared" si="5"/>
        <v>844.28769239629901</v>
      </c>
    </row>
    <row r="132" spans="1:3" x14ac:dyDescent="0.25">
      <c r="A132" s="10">
        <f t="shared" si="3"/>
        <v>64</v>
      </c>
      <c r="B132" s="10">
        <f t="shared" si="4"/>
        <v>858.74195485412076</v>
      </c>
      <c r="C132" s="10">
        <f t="shared" si="5"/>
        <v>850.86099163952053</v>
      </c>
    </row>
    <row r="133" spans="1:3" x14ac:dyDescent="0.25">
      <c r="A133" s="13">
        <f t="shared" ref="A133:A196" si="6">IF(ISNA(A132), NA(), IF(A132 + $H$7 &lt;= $H$8 + 0.000000001, A132 + $H$7, NA()))</f>
        <v>64.5</v>
      </c>
      <c r="B133" s="13">
        <f t="shared" ref="B133:B196" si="7">IF(ISNA(A133), NA(), $H$6 / (1 + (($H$6 - $H$4) / $H$4) * EXP(-$H$5 * A133)))</f>
        <v>864.69907095753456</v>
      </c>
      <c r="C133" s="13">
        <f t="shared" ref="C133:C196" si="8">IF(ISNA(A133), NA(), C132 + $H$5 * C132 * (1 - C132 / $H$6) * $H$7)</f>
        <v>857.20581986680713</v>
      </c>
    </row>
    <row r="134" spans="1:3" x14ac:dyDescent="0.25">
      <c r="A134" s="10">
        <f t="shared" si="6"/>
        <v>65</v>
      </c>
      <c r="B134" s="10">
        <f t="shared" si="7"/>
        <v>870.44286593104323</v>
      </c>
      <c r="C134" s="10">
        <f t="shared" si="8"/>
        <v>863.3260199794712</v>
      </c>
    </row>
    <row r="135" spans="1:3" x14ac:dyDescent="0.25">
      <c r="A135" s="13">
        <f t="shared" si="6"/>
        <v>65.5</v>
      </c>
      <c r="B135" s="13">
        <f t="shared" si="7"/>
        <v>875.97779821336439</v>
      </c>
      <c r="C135" s="13">
        <f t="shared" si="8"/>
        <v>869.22573013976501</v>
      </c>
    </row>
    <row r="136" spans="1:3" x14ac:dyDescent="0.25">
      <c r="A136" s="10">
        <f t="shared" si="6"/>
        <v>66</v>
      </c>
      <c r="B136" s="10">
        <f t="shared" si="7"/>
        <v>881.30851097466302</v>
      </c>
      <c r="C136" s="10">
        <f t="shared" si="8"/>
        <v>874.90934814990283</v>
      </c>
    </row>
    <row r="137" spans="1:3" x14ac:dyDescent="0.25">
      <c r="A137" s="13">
        <f t="shared" si="6"/>
        <v>66.5</v>
      </c>
      <c r="B137" s="13">
        <f t="shared" si="7"/>
        <v>886.43980271241014</v>
      </c>
      <c r="C137" s="13">
        <f t="shared" si="8"/>
        <v>880.38149718339355</v>
      </c>
    </row>
    <row r="138" spans="1:3" x14ac:dyDescent="0.25">
      <c r="A138" s="10">
        <f t="shared" si="6"/>
        <v>67</v>
      </c>
      <c r="B138" s="10">
        <f t="shared" si="7"/>
        <v>891.37659946182487</v>
      </c>
      <c r="C138" s="10">
        <f t="shared" si="8"/>
        <v>885.64699301341955</v>
      </c>
    </row>
    <row r="139" spans="1:3" x14ac:dyDescent="0.25">
      <c r="A139" s="13">
        <f t="shared" si="6"/>
        <v>67.5</v>
      </c>
      <c r="B139" s="13">
        <f t="shared" si="7"/>
        <v>896.12392866774212</v>
      </c>
      <c r="C139" s="13">
        <f t="shared" si="8"/>
        <v>890.71081285240496</v>
      </c>
    </row>
    <row r="140" spans="1:3" x14ac:dyDescent="0.25">
      <c r="A140" s="10">
        <f t="shared" si="6"/>
        <v>68</v>
      </c>
      <c r="B140" s="10">
        <f t="shared" si="7"/>
        <v>900.68689474383598</v>
      </c>
      <c r="C140" s="10">
        <f t="shared" si="8"/>
        <v>895.57806588841561</v>
      </c>
    </row>
    <row r="141" spans="1:3" x14ac:dyDescent="0.25">
      <c r="A141" s="13">
        <f t="shared" si="6"/>
        <v>68.5</v>
      </c>
      <c r="B141" s="13">
        <f t="shared" si="7"/>
        <v>905.07065632645924</v>
      </c>
      <c r="C141" s="13">
        <f t="shared" si="8"/>
        <v>900.2539655778146</v>
      </c>
    </row>
    <row r="142" spans="1:3" x14ac:dyDescent="0.25">
      <c r="A142" s="10">
        <f t="shared" si="6"/>
        <v>69</v>
      </c>
      <c r="B142" s="10">
        <f t="shared" si="7"/>
        <v>909.28040521390415</v>
      </c>
      <c r="C142" s="10">
        <f t="shared" si="8"/>
        <v>904.74380372977623</v>
      </c>
    </row>
    <row r="143" spans="1:3" x14ac:dyDescent="0.25">
      <c r="A143" s="13">
        <f t="shared" si="6"/>
        <v>69.5</v>
      </c>
      <c r="B143" s="13">
        <f t="shared" si="7"/>
        <v>913.32134696759169</v>
      </c>
      <c r="C143" s="13">
        <f t="shared" si="8"/>
        <v>909.05292639689389</v>
      </c>
    </row>
    <row r="144" spans="1:3" x14ac:dyDescent="0.25">
      <c r="A144" s="10">
        <f t="shared" si="6"/>
        <v>70</v>
      </c>
      <c r="B144" s="10">
        <f t="shared" si="7"/>
        <v>917.19868313946256</v>
      </c>
      <c r="C144" s="10">
        <f t="shared" si="8"/>
        <v>913.18671156720075</v>
      </c>
    </row>
    <row r="145" spans="1:3" x14ac:dyDescent="0.25">
      <c r="A145" s="13">
        <f t="shared" si="6"/>
        <v>70.5</v>
      </c>
      <c r="B145" s="13">
        <f t="shared" si="7"/>
        <v>920.91759507955101</v>
      </c>
      <c r="C145" s="13">
        <f t="shared" si="8"/>
        <v>917.1505486364149</v>
      </c>
    </row>
    <row r="146" spans="1:3" x14ac:dyDescent="0.25">
      <c r="A146" s="10">
        <f t="shared" si="6"/>
        <v>71</v>
      </c>
      <c r="B146" s="10">
        <f t="shared" si="7"/>
        <v>924.48322926926369</v>
      </c>
      <c r="C146" s="10">
        <f t="shared" si="8"/>
        <v>920.94981962503175</v>
      </c>
    </row>
    <row r="147" spans="1:3" x14ac:dyDescent="0.25">
      <c r="A147" s="13">
        <f t="shared" si="6"/>
        <v>71.5</v>
      </c>
      <c r="B147" s="13">
        <f t="shared" si="7"/>
        <v>927.90068411909704</v>
      </c>
      <c r="C147" s="13">
        <f t="shared" si="8"/>
        <v>924.58988209291442</v>
      </c>
    </row>
    <row r="148" spans="1:3" x14ac:dyDescent="0.25">
      <c r="A148" s="10">
        <f t="shared" si="6"/>
        <v>72</v>
      </c>
      <c r="B148" s="10">
        <f t="shared" si="7"/>
        <v>931.17499816428131</v>
      </c>
      <c r="C148" s="10">
        <f t="shared" si="8"/>
        <v>928.07605369413068</v>
      </c>
    </row>
    <row r="149" spans="1:3" x14ac:dyDescent="0.25">
      <c r="A149" s="13">
        <f t="shared" si="6"/>
        <v>72.5</v>
      </c>
      <c r="B149" s="13">
        <f t="shared" si="7"/>
        <v>934.31113958797789</v>
      </c>
      <c r="C149" s="13">
        <f t="shared" si="8"/>
        <v>931.4135983068137</v>
      </c>
    </row>
    <row r="150" spans="1:3" x14ac:dyDescent="0.25">
      <c r="A150" s="10">
        <f t="shared" si="6"/>
        <v>73</v>
      </c>
      <c r="B150" s="10">
        <f t="shared" si="7"/>
        <v>937.31399699902784</v>
      </c>
      <c r="C150" s="10">
        <f t="shared" si="8"/>
        <v>934.60771366661209</v>
      </c>
    </row>
    <row r="151" spans="1:3" x14ac:dyDescent="0.25">
      <c r="A151" s="13">
        <f t="shared" si="6"/>
        <v>73.5</v>
      </c>
      <c r="B151" s="13">
        <f t="shared" si="7"/>
        <v>940.18837138973265</v>
      </c>
      <c r="C151" s="13">
        <f t="shared" si="8"/>
        <v>937.66352042768608</v>
      </c>
    </row>
    <row r="152" spans="1:3" x14ac:dyDescent="0.25">
      <c r="A152" s="10">
        <f t="shared" si="6"/>
        <v>74</v>
      </c>
      <c r="B152" s="10">
        <f t="shared" si="7"/>
        <v>942.93896919856934</v>
      </c>
      <c r="C152" s="10">
        <f t="shared" si="8"/>
        <v>940.58605257202828</v>
      </c>
    </row>
    <row r="153" spans="1:3" x14ac:dyDescent="0.25">
      <c r="A153" s="13">
        <f t="shared" si="6"/>
        <v>74.5</v>
      </c>
      <c r="B153" s="13">
        <f t="shared" si="7"/>
        <v>945.57039640300229</v>
      </c>
      <c r="C153" s="13">
        <f t="shared" si="8"/>
        <v>943.38024908597822</v>
      </c>
    </row>
    <row r="154" spans="1:3" x14ac:dyDescent="0.25">
      <c r="A154" s="10">
        <f t="shared" si="6"/>
        <v>75</v>
      </c>
      <c r="B154" s="10">
        <f t="shared" si="7"/>
        <v>948.08715356850757</v>
      </c>
      <c r="C154" s="10">
        <f t="shared" si="8"/>
        <v>946.05094682200104</v>
      </c>
    </row>
    <row r="155" spans="1:3" x14ac:dyDescent="0.25">
      <c r="A155" s="13">
        <f t="shared" si="6"/>
        <v>75.5</v>
      </c>
      <c r="B155" s="13">
        <f t="shared" si="7"/>
        <v>950.49363178148303</v>
      </c>
      <c r="C155" s="13">
        <f t="shared" si="8"/>
        <v>948.6028744639608</v>
      </c>
    </row>
    <row r="156" spans="1:3" x14ac:dyDescent="0.25">
      <c r="A156" s="10">
        <f t="shared" si="6"/>
        <v>76</v>
      </c>
      <c r="B156" s="10">
        <f t="shared" si="7"/>
        <v>952.79410939573438</v>
      </c>
      <c r="C156" s="10">
        <f t="shared" si="8"/>
        <v>951.04064751509441</v>
      </c>
    </row>
    <row r="157" spans="1:3" x14ac:dyDescent="0.25">
      <c r="A157" s="13">
        <f t="shared" si="6"/>
        <v>76.5</v>
      </c>
      <c r="B157" s="13">
        <f t="shared" si="7"/>
        <v>954.99274952466487</v>
      </c>
      <c r="C157" s="13">
        <f t="shared" si="8"/>
        <v>953.36876422955265</v>
      </c>
    </row>
    <row r="158" spans="1:3" x14ac:dyDescent="0.25">
      <c r="A158" s="10">
        <f t="shared" si="6"/>
        <v>77</v>
      </c>
      <c r="B158" s="10">
        <f t="shared" si="7"/>
        <v>957.09359821401415</v>
      </c>
      <c r="C158" s="10">
        <f t="shared" si="8"/>
        <v>955.59160241060101</v>
      </c>
    </row>
    <row r="159" spans="1:3" x14ac:dyDescent="0.25">
      <c r="A159" s="13">
        <f t="shared" si="6"/>
        <v>77.5</v>
      </c>
      <c r="B159" s="13">
        <f t="shared" si="7"/>
        <v>959.10058323295095</v>
      </c>
      <c r="C159" s="13">
        <f t="shared" si="8"/>
        <v>957.7134170012481</v>
      </c>
    </row>
    <row r="160" spans="1:3" x14ac:dyDescent="0.25">
      <c r="A160" s="10">
        <f t="shared" si="6"/>
        <v>78</v>
      </c>
      <c r="B160" s="10">
        <f t="shared" si="7"/>
        <v>961.01751342444504</v>
      </c>
      <c r="C160" s="10">
        <f t="shared" si="8"/>
        <v>959.73833839610018</v>
      </c>
    </row>
    <row r="161" spans="1:3" x14ac:dyDescent="0.25">
      <c r="A161" s="13">
        <f t="shared" si="6"/>
        <v>78.5</v>
      </c>
      <c r="B161" s="13">
        <f t="shared" si="7"/>
        <v>962.84807855906888</v>
      </c>
      <c r="C161" s="13">
        <f t="shared" si="8"/>
        <v>961.67037140653986</v>
      </c>
    </row>
    <row r="162" spans="1:3" x14ac:dyDescent="0.25">
      <c r="A162" s="10">
        <f t="shared" si="6"/>
        <v>79</v>
      </c>
      <c r="B162" s="10">
        <f t="shared" si="7"/>
        <v>964.5958496396529</v>
      </c>
      <c r="C162" s="10">
        <f t="shared" si="8"/>
        <v>963.51339481480727</v>
      </c>
    </row>
    <row r="163" spans="1:3" x14ac:dyDescent="0.25">
      <c r="A163" s="13">
        <f t="shared" si="6"/>
        <v>79.5</v>
      </c>
      <c r="B163" s="13">
        <f t="shared" si="7"/>
        <v>966.26427960751448</v>
      </c>
      <c r="C163" s="13">
        <f t="shared" si="8"/>
        <v>965.27116145616992</v>
      </c>
    </row>
    <row r="164" spans="1:3" x14ac:dyDescent="0.25">
      <c r="A164" s="10">
        <f t="shared" si="6"/>
        <v>80</v>
      </c>
      <c r="B164" s="10">
        <f t="shared" si="7"/>
        <v>967.85670440424121</v>
      </c>
      <c r="C164" s="10">
        <f t="shared" si="8"/>
        <v>966.94729877203122</v>
      </c>
    </row>
    <row r="165" spans="1:3" x14ac:dyDescent="0.25">
      <c r="A165" s="13">
        <f t="shared" si="6"/>
        <v>80.5</v>
      </c>
      <c r="B165" s="13">
        <f t="shared" si="7"/>
        <v>969.37634434622066</v>
      </c>
      <c r="C165" s="13">
        <f t="shared" si="8"/>
        <v>968.54530978050639</v>
      </c>
    </row>
    <row r="166" spans="1:3" x14ac:dyDescent="0.25">
      <c r="A166" s="10">
        <f t="shared" si="6"/>
        <v>81</v>
      </c>
      <c r="B166" s="10">
        <f t="shared" si="7"/>
        <v>970.82630577223892</v>
      </c>
      <c r="C166" s="10">
        <f t="shared" si="8"/>
        <v>970.06857441464081</v>
      </c>
    </row>
    <row r="167" spans="1:3" x14ac:dyDescent="0.25">
      <c r="A167" s="13">
        <f t="shared" si="6"/>
        <v>81.5</v>
      </c>
      <c r="B167" s="13">
        <f t="shared" si="7"/>
        <v>972.2095829275047</v>
      </c>
      <c r="C167" s="13">
        <f t="shared" si="8"/>
        <v>971.52035118203014</v>
      </c>
    </row>
    <row r="168" spans="1:3" x14ac:dyDescent="0.25">
      <c r="A168" s="10">
        <f t="shared" si="6"/>
        <v>82</v>
      </c>
      <c r="B168" s="10">
        <f t="shared" si="7"/>
        <v>973.52906005036868</v>
      </c>
      <c r="C168" s="10">
        <f t="shared" si="8"/>
        <v>972.90377910308894</v>
      </c>
    </row>
    <row r="169" spans="1:3" x14ac:dyDescent="0.25">
      <c r="A169" s="13">
        <f t="shared" si="6"/>
        <v>82.5</v>
      </c>
      <c r="B169" s="13">
        <f t="shared" si="7"/>
        <v>974.78751363080062</v>
      </c>
      <c r="C169" s="13">
        <f t="shared" si="8"/>
        <v>974.2218798885898</v>
      </c>
    </row>
    <row r="170" spans="1:3" x14ac:dyDescent="0.25">
      <c r="A170" s="10">
        <f t="shared" si="6"/>
        <v>83</v>
      </c>
      <c r="B170" s="10">
        <f t="shared" si="7"/>
        <v>975.9876148123476</v>
      </c>
      <c r="C170" s="10">
        <f t="shared" si="8"/>
        <v>975.47756032033635</v>
      </c>
    </row>
    <row r="171" spans="1:3" x14ac:dyDescent="0.25">
      <c r="A171" s="13">
        <f t="shared" si="6"/>
        <v>83.5</v>
      </c>
      <c r="B171" s="13">
        <f t="shared" si="7"/>
        <v>977.13193191180903</v>
      </c>
      <c r="C171" s="13">
        <f t="shared" si="8"/>
        <v>976.67361480192744</v>
      </c>
    </row>
    <row r="172" spans="1:3" x14ac:dyDescent="0.25">
      <c r="A172" s="10">
        <f t="shared" si="6"/>
        <v>84</v>
      </c>
      <c r="B172" s="10">
        <f t="shared" si="7"/>
        <v>978.22293303324466</v>
      </c>
      <c r="C172" s="10">
        <f t="shared" si="8"/>
        <v>977.81272804951061</v>
      </c>
    </row>
    <row r="173" spans="1:3" x14ac:dyDescent="0.25">
      <c r="A173" s="13">
        <f t="shared" si="6"/>
        <v>84.5</v>
      </c>
      <c r="B173" s="13">
        <f t="shared" si="7"/>
        <v>979.2629887551584</v>
      </c>
      <c r="C173" s="13">
        <f t="shared" si="8"/>
        <v>978.89747789520482</v>
      </c>
    </row>
    <row r="174" spans="1:3" x14ac:dyDescent="0.25">
      <c r="A174" s="10">
        <f t="shared" si="6"/>
        <v>85</v>
      </c>
      <c r="B174" s="10">
        <f t="shared" si="7"/>
        <v>980.25437487179931</v>
      </c>
      <c r="C174" s="10">
        <f t="shared" si="8"/>
        <v>979.93033817848539</v>
      </c>
    </row>
    <row r="175" spans="1:3" x14ac:dyDescent="0.25">
      <c r="A175" s="13">
        <f t="shared" si="6"/>
        <v>85.5</v>
      </c>
      <c r="B175" s="13">
        <f t="shared" si="7"/>
        <v>981.1992751714605</v>
      </c>
      <c r="C175" s="13">
        <f t="shared" si="8"/>
        <v>980.91368170327962</v>
      </c>
    </row>
    <row r="176" spans="1:3" x14ac:dyDescent="0.25">
      <c r="A176" s="10">
        <f t="shared" si="6"/>
        <v>86</v>
      </c>
      <c r="B176" s="10">
        <f t="shared" si="7"/>
        <v>982.09978423647613</v>
      </c>
      <c r="C176" s="10">
        <f t="shared" si="8"/>
        <v>981.84978324080942</v>
      </c>
    </row>
    <row r="177" spans="1:3" x14ac:dyDescent="0.25">
      <c r="A177" s="13">
        <f t="shared" si="6"/>
        <v>86.5</v>
      </c>
      <c r="B177" s="13">
        <f t="shared" si="7"/>
        <v>982.95791025129904</v>
      </c>
      <c r="C177" s="13">
        <f t="shared" si="8"/>
        <v>982.74082256034865</v>
      </c>
    </row>
    <row r="178" spans="1:3" x14ac:dyDescent="0.25">
      <c r="A178" s="10">
        <f t="shared" si="6"/>
        <v>87</v>
      </c>
      <c r="B178" s="10">
        <f t="shared" si="7"/>
        <v>983.77557780658492</v>
      </c>
      <c r="C178" s="10">
        <f t="shared" si="8"/>
        <v>983.5888874720365</v>
      </c>
    </row>
    <row r="179" spans="1:3" x14ac:dyDescent="0.25">
      <c r="A179" s="13">
        <f t="shared" si="6"/>
        <v>87.5</v>
      </c>
      <c r="B179" s="13">
        <f t="shared" si="7"/>
        <v>984.5546306886506</v>
      </c>
      <c r="C179" s="13">
        <f t="shared" si="8"/>
        <v>984.39597686771435</v>
      </c>
    </row>
    <row r="180" spans="1:3" x14ac:dyDescent="0.25">
      <c r="A180" s="10">
        <f t="shared" si="6"/>
        <v>88</v>
      </c>
      <c r="B180" s="10">
        <f t="shared" si="7"/>
        <v>985.29683464498021</v>
      </c>
      <c r="C180" s="10">
        <f t="shared" si="8"/>
        <v>985.16400374743296</v>
      </c>
    </row>
    <row r="181" spans="1:3" x14ac:dyDescent="0.25">
      <c r="A181" s="13">
        <f t="shared" si="6"/>
        <v>88.5</v>
      </c>
      <c r="B181" s="13">
        <f t="shared" si="7"/>
        <v>986.00388011766324</v>
      </c>
      <c r="C181" s="13">
        <f t="shared" si="8"/>
        <v>985.89479822082103</v>
      </c>
    </row>
    <row r="182" spans="1:3" x14ac:dyDescent="0.25">
      <c r="A182" s="10">
        <f t="shared" si="6"/>
        <v>89</v>
      </c>
      <c r="B182" s="10">
        <f t="shared" si="7"/>
        <v>986.67738493774209</v>
      </c>
      <c r="C182" s="10">
        <f t="shared" si="8"/>
        <v>986.59011047391846</v>
      </c>
    </row>
    <row r="183" spans="1:3" x14ac:dyDescent="0.25">
      <c r="A183" s="13">
        <f t="shared" si="6"/>
        <v>89.5</v>
      </c>
      <c r="B183" s="13">
        <f t="shared" si="7"/>
        <v>987.31889697445581</v>
      </c>
      <c r="C183" s="13">
        <f t="shared" si="8"/>
        <v>987.2516136933674</v>
      </c>
    </row>
    <row r="184" spans="1:3" x14ac:dyDescent="0.25">
      <c r="A184" s="10">
        <f t="shared" si="6"/>
        <v>90</v>
      </c>
      <c r="B184" s="10">
        <f t="shared" si="7"/>
        <v>987.92989673427235</v>
      </c>
      <c r="C184" s="10">
        <f t="shared" si="8"/>
        <v>987.88090694102789</v>
      </c>
    </row>
    <row r="185" spans="1:3" x14ac:dyDescent="0.25">
      <c r="A185" s="13">
        <f t="shared" si="6"/>
        <v>90.5</v>
      </c>
      <c r="B185" s="13">
        <f t="shared" si="7"/>
        <v>988.51179990542948</v>
      </c>
      <c r="C185" s="13">
        <f t="shared" si="8"/>
        <v>988.47951797314784</v>
      </c>
    </row>
    <row r="186" spans="1:3" x14ac:dyDescent="0.25">
      <c r="A186" s="10">
        <f t="shared" si="6"/>
        <v>91</v>
      </c>
      <c r="B186" s="10">
        <f t="shared" si="7"/>
        <v>989.065959844448</v>
      </c>
      <c r="C186" s="10">
        <f t="shared" si="8"/>
        <v>989.04890599918394</v>
      </c>
    </row>
    <row r="187" spans="1:3" x14ac:dyDescent="0.25">
      <c r="A187" s="13">
        <f t="shared" si="6"/>
        <v>91.5</v>
      </c>
      <c r="B187" s="13">
        <f t="shared" si="7"/>
        <v>989.59367000175359</v>
      </c>
      <c r="C187" s="13">
        <f t="shared" si="8"/>
        <v>989.59046437623397</v>
      </c>
    </row>
    <row r="188" spans="1:3" x14ac:dyDescent="0.25">
      <c r="A188" s="10">
        <f t="shared" si="6"/>
        <v>92</v>
      </c>
      <c r="B188" s="10">
        <f t="shared" si="7"/>
        <v>990.09616628414756</v>
      </c>
      <c r="C188" s="10">
        <f t="shared" si="8"/>
        <v>990.10552323582715</v>
      </c>
    </row>
    <row r="189" spans="1:3" x14ac:dyDescent="0.25">
      <c r="A189" s="13">
        <f t="shared" si="6"/>
        <v>92.5</v>
      </c>
      <c r="B189" s="13">
        <f t="shared" si="7"/>
        <v>990.57462935240096</v>
      </c>
      <c r="C189" s="13">
        <f t="shared" si="8"/>
        <v>990.59535204051394</v>
      </c>
    </row>
    <row r="190" spans="1:3" x14ac:dyDescent="0.25">
      <c r="A190" s="10">
        <f t="shared" si="6"/>
        <v>93</v>
      </c>
      <c r="B190" s="10">
        <f t="shared" si="7"/>
        <v>991.03018685273639</v>
      </c>
      <c r="C190" s="10">
        <f t="shared" si="8"/>
        <v>991.0611620683261</v>
      </c>
    </row>
    <row r="191" spans="1:3" x14ac:dyDescent="0.25">
      <c r="A191" s="13">
        <f t="shared" si="6"/>
        <v>93.5</v>
      </c>
      <c r="B191" s="13">
        <f t="shared" si="7"/>
        <v>991.46391558138419</v>
      </c>
      <c r="C191" s="13">
        <f t="shared" si="8"/>
        <v>991.50410882373137</v>
      </c>
    </row>
    <row r="192" spans="1:3" x14ac:dyDescent="0.25">
      <c r="A192" s="10">
        <f t="shared" si="6"/>
        <v>94</v>
      </c>
      <c r="B192" s="10">
        <f t="shared" si="7"/>
        <v>991.87684358177603</v>
      </c>
      <c r="C192" s="10">
        <f t="shared" si="8"/>
        <v>991.9252943742008</v>
      </c>
    </row>
    <row r="193" spans="1:3" x14ac:dyDescent="0.25">
      <c r="A193" s="13">
        <f t="shared" si="6"/>
        <v>94.5</v>
      </c>
      <c r="B193" s="13">
        <f t="shared" si="7"/>
        <v>992.26995217428305</v>
      </c>
      <c r="C193" s="13">
        <f t="shared" si="8"/>
        <v>992.32576961194354</v>
      </c>
    </row>
    <row r="194" spans="1:3" x14ac:dyDescent="0.25">
      <c r="A194" s="10">
        <f t="shared" si="6"/>
        <v>95</v>
      </c>
      <c r="B194" s="10">
        <f t="shared" si="7"/>
        <v>992.64417791868595</v>
      </c>
      <c r="C194" s="10">
        <f t="shared" si="8"/>
        <v>992.70653644074389</v>
      </c>
    </row>
    <row r="195" spans="1:3" x14ac:dyDescent="0.25">
      <c r="A195" s="13">
        <f t="shared" si="6"/>
        <v>95.5</v>
      </c>
      <c r="B195" s="13">
        <f t="shared" si="7"/>
        <v>993.00041450983315</v>
      </c>
      <c r="C195" s="13">
        <f t="shared" si="8"/>
        <v>993.06854988817213</v>
      </c>
    </row>
    <row r="196" spans="1:3" x14ac:dyDescent="0.25">
      <c r="A196" s="10">
        <f t="shared" si="6"/>
        <v>96</v>
      </c>
      <c r="B196" s="10">
        <f t="shared" si="7"/>
        <v>993.33951460715275</v>
      </c>
      <c r="C196" s="10">
        <f t="shared" si="8"/>
        <v>993.41272014373089</v>
      </c>
    </row>
    <row r="197" spans="1:3" x14ac:dyDescent="0.25">
      <c r="A197" s="13">
        <f t="shared" ref="A197:A260" si="9">IF(ISNA(A196), NA(), IF(A196 + $H$7 &lt;= $H$8 + 0.000000001, A196 + $H$7, NA()))</f>
        <v>96.5</v>
      </c>
      <c r="B197" s="13">
        <f t="shared" ref="B197:B260" si="10">IF(ISNA(A197), NA(), $H$6 / (1 + (($H$6 - $H$4) / $H$4) * EXP(-$H$5 * A197)))</f>
        <v>993.6622915988853</v>
      </c>
      <c r="C197" s="13">
        <f t="shared" ref="C197:C260" si="11">IF(ISNA(A197), NA(), C196 + $H$5 * C196 * (1 - C196 / $H$6) * $H$7)</f>
        <v>993.73991452374912</v>
      </c>
    </row>
    <row r="198" spans="1:3" x14ac:dyDescent="0.25">
      <c r="A198" s="10">
        <f t="shared" si="9"/>
        <v>97</v>
      </c>
      <c r="B198" s="10">
        <f t="shared" si="10"/>
        <v>993.96952130206478</v>
      </c>
      <c r="C198" s="10">
        <f t="shared" si="11"/>
        <v>994.05095936405314</v>
      </c>
    </row>
    <row r="199" spans="1:3" x14ac:dyDescent="0.25">
      <c r="A199" s="13">
        <f t="shared" si="9"/>
        <v>97.5</v>
      </c>
      <c r="B199" s="13">
        <f t="shared" si="10"/>
        <v>994.26194359940973</v>
      </c>
      <c r="C199" s="13">
        <f t="shared" si="11"/>
        <v>994.34664184162602</v>
      </c>
    </row>
    <row r="200" spans="1:3" x14ac:dyDescent="0.25">
      <c r="A200" s="10">
        <f t="shared" si="9"/>
        <v>98</v>
      </c>
      <c r="B200" s="10">
        <f t="shared" si="10"/>
        <v>994.54026401440944</v>
      </c>
      <c r="C200" s="10">
        <f t="shared" si="11"/>
        <v>994.62771172662133</v>
      </c>
    </row>
    <row r="201" spans="1:3" x14ac:dyDescent="0.25">
      <c r="A201" s="13">
        <f t="shared" si="9"/>
        <v>98.5</v>
      </c>
      <c r="B201" s="13">
        <f t="shared" si="10"/>
        <v>994.80515522598228</v>
      </c>
      <c r="C201" s="13">
        <f t="shared" si="11"/>
        <v>994.8948830662257</v>
      </c>
    </row>
    <row r="202" spans="1:3" x14ac:dyDescent="0.25">
      <c r="A202" s="10">
        <f t="shared" si="9"/>
        <v>99</v>
      </c>
      <c r="B202" s="10">
        <f t="shared" si="10"/>
        <v>995.05725852416015</v>
      </c>
      <c r="C202" s="10">
        <f t="shared" si="11"/>
        <v>995.14883580196908</v>
      </c>
    </row>
    <row r="203" spans="1:3" x14ac:dyDescent="0.25">
      <c r="A203" s="13">
        <f t="shared" si="9"/>
        <v>99.5</v>
      </c>
      <c r="B203" s="13">
        <f t="shared" si="10"/>
        <v>995.29718520831864</v>
      </c>
      <c r="C203" s="13">
        <f t="shared" si="11"/>
        <v>995.39021732216679</v>
      </c>
    </row>
    <row r="204" spans="1:3" x14ac:dyDescent="0.25">
      <c r="A204" s="10">
        <f t="shared" si="9"/>
        <v>100</v>
      </c>
      <c r="B204" s="10">
        <f t="shared" si="10"/>
        <v>995.52551792951476</v>
      </c>
      <c r="C204" s="10">
        <f t="shared" si="11"/>
        <v>995.61964395124164</v>
      </c>
    </row>
    <row r="205" spans="1:3" x14ac:dyDescent="0.25">
      <c r="A205" s="13" t="e">
        <f t="shared" si="9"/>
        <v>#N/A</v>
      </c>
      <c r="B205" s="13" t="e">
        <f t="shared" si="10"/>
        <v>#N/A</v>
      </c>
      <c r="C205" s="13" t="e">
        <f t="shared" si="11"/>
        <v>#N/A</v>
      </c>
    </row>
    <row r="206" spans="1:3" x14ac:dyDescent="0.25">
      <c r="A206" s="10" t="e">
        <f t="shared" si="9"/>
        <v>#N/A</v>
      </c>
      <c r="B206" s="10" t="e">
        <f t="shared" si="10"/>
        <v>#N/A</v>
      </c>
      <c r="C206" s="10" t="e">
        <f t="shared" si="11"/>
        <v>#N/A</v>
      </c>
    </row>
    <row r="207" spans="1:3" x14ac:dyDescent="0.25">
      <c r="A207" s="13" t="e">
        <f t="shared" si="9"/>
        <v>#N/A</v>
      </c>
      <c r="B207" s="13" t="e">
        <f t="shared" si="10"/>
        <v>#N/A</v>
      </c>
      <c r="C207" s="13" t="e">
        <f t="shared" si="11"/>
        <v>#N/A</v>
      </c>
    </row>
    <row r="208" spans="1:3" x14ac:dyDescent="0.25">
      <c r="A208" s="10" t="e">
        <f t="shared" si="9"/>
        <v>#N/A</v>
      </c>
      <c r="B208" s="10" t="e">
        <f t="shared" si="10"/>
        <v>#N/A</v>
      </c>
      <c r="C208" s="10" t="e">
        <f t="shared" si="11"/>
        <v>#N/A</v>
      </c>
    </row>
    <row r="209" spans="1:3" x14ac:dyDescent="0.25">
      <c r="A209" s="13" t="e">
        <f t="shared" si="9"/>
        <v>#N/A</v>
      </c>
      <c r="B209" s="13" t="e">
        <f t="shared" si="10"/>
        <v>#N/A</v>
      </c>
      <c r="C209" s="13" t="e">
        <f t="shared" si="11"/>
        <v>#N/A</v>
      </c>
    </row>
    <row r="210" spans="1:3" x14ac:dyDescent="0.25">
      <c r="A210" s="10" t="e">
        <f t="shared" si="9"/>
        <v>#N/A</v>
      </c>
      <c r="B210" s="10" t="e">
        <f t="shared" si="10"/>
        <v>#N/A</v>
      </c>
      <c r="C210" s="10" t="e">
        <f t="shared" si="11"/>
        <v>#N/A</v>
      </c>
    </row>
    <row r="211" spans="1:3" x14ac:dyDescent="0.25">
      <c r="A211" s="13" t="e">
        <f t="shared" si="9"/>
        <v>#N/A</v>
      </c>
      <c r="B211" s="13" t="e">
        <f t="shared" si="10"/>
        <v>#N/A</v>
      </c>
      <c r="C211" s="13" t="e">
        <f t="shared" si="11"/>
        <v>#N/A</v>
      </c>
    </row>
    <row r="212" spans="1:3" x14ac:dyDescent="0.25">
      <c r="A212" s="10" t="e">
        <f t="shared" si="9"/>
        <v>#N/A</v>
      </c>
      <c r="B212" s="10" t="e">
        <f t="shared" si="10"/>
        <v>#N/A</v>
      </c>
      <c r="C212" s="10" t="e">
        <f t="shared" si="11"/>
        <v>#N/A</v>
      </c>
    </row>
    <row r="213" spans="1:3" x14ac:dyDescent="0.25">
      <c r="A213" s="13" t="e">
        <f t="shared" si="9"/>
        <v>#N/A</v>
      </c>
      <c r="B213" s="13" t="e">
        <f t="shared" si="10"/>
        <v>#N/A</v>
      </c>
      <c r="C213" s="13" t="e">
        <f t="shared" si="11"/>
        <v>#N/A</v>
      </c>
    </row>
    <row r="214" spans="1:3" x14ac:dyDescent="0.25">
      <c r="A214" s="10" t="e">
        <f t="shared" si="9"/>
        <v>#N/A</v>
      </c>
      <c r="B214" s="10" t="e">
        <f t="shared" si="10"/>
        <v>#N/A</v>
      </c>
      <c r="C214" s="10" t="e">
        <f t="shared" si="11"/>
        <v>#N/A</v>
      </c>
    </row>
    <row r="215" spans="1:3" x14ac:dyDescent="0.25">
      <c r="A215" s="13" t="e">
        <f t="shared" si="9"/>
        <v>#N/A</v>
      </c>
      <c r="B215" s="13" t="e">
        <f t="shared" si="10"/>
        <v>#N/A</v>
      </c>
      <c r="C215" s="13" t="e">
        <f t="shared" si="11"/>
        <v>#N/A</v>
      </c>
    </row>
    <row r="216" spans="1:3" x14ac:dyDescent="0.25">
      <c r="A216" s="10" t="e">
        <f t="shared" si="9"/>
        <v>#N/A</v>
      </c>
      <c r="B216" s="10" t="e">
        <f t="shared" si="10"/>
        <v>#N/A</v>
      </c>
      <c r="C216" s="10" t="e">
        <f t="shared" si="11"/>
        <v>#N/A</v>
      </c>
    </row>
    <row r="217" spans="1:3" x14ac:dyDescent="0.25">
      <c r="A217" s="13" t="e">
        <f t="shared" si="9"/>
        <v>#N/A</v>
      </c>
      <c r="B217" s="13" t="e">
        <f t="shared" si="10"/>
        <v>#N/A</v>
      </c>
      <c r="C217" s="13" t="e">
        <f t="shared" si="11"/>
        <v>#N/A</v>
      </c>
    </row>
    <row r="218" spans="1:3" x14ac:dyDescent="0.25">
      <c r="A218" s="10" t="e">
        <f t="shared" si="9"/>
        <v>#N/A</v>
      </c>
      <c r="B218" s="10" t="e">
        <f t="shared" si="10"/>
        <v>#N/A</v>
      </c>
      <c r="C218" s="10" t="e">
        <f t="shared" si="11"/>
        <v>#N/A</v>
      </c>
    </row>
    <row r="219" spans="1:3" x14ac:dyDescent="0.25">
      <c r="A219" s="13" t="e">
        <f t="shared" si="9"/>
        <v>#N/A</v>
      </c>
      <c r="B219" s="13" t="e">
        <f t="shared" si="10"/>
        <v>#N/A</v>
      </c>
      <c r="C219" s="13" t="e">
        <f t="shared" si="11"/>
        <v>#N/A</v>
      </c>
    </row>
    <row r="220" spans="1:3" x14ac:dyDescent="0.25">
      <c r="A220" s="10" t="e">
        <f t="shared" si="9"/>
        <v>#N/A</v>
      </c>
      <c r="B220" s="10" t="e">
        <f t="shared" si="10"/>
        <v>#N/A</v>
      </c>
      <c r="C220" s="10" t="e">
        <f t="shared" si="11"/>
        <v>#N/A</v>
      </c>
    </row>
    <row r="221" spans="1:3" x14ac:dyDescent="0.25">
      <c r="A221" s="13" t="e">
        <f t="shared" si="9"/>
        <v>#N/A</v>
      </c>
      <c r="B221" s="13" t="e">
        <f t="shared" si="10"/>
        <v>#N/A</v>
      </c>
      <c r="C221" s="13" t="e">
        <f t="shared" si="11"/>
        <v>#N/A</v>
      </c>
    </row>
    <row r="222" spans="1:3" x14ac:dyDescent="0.25">
      <c r="A222" s="10" t="e">
        <f t="shared" si="9"/>
        <v>#N/A</v>
      </c>
      <c r="B222" s="10" t="e">
        <f t="shared" si="10"/>
        <v>#N/A</v>
      </c>
      <c r="C222" s="10" t="e">
        <f t="shared" si="11"/>
        <v>#N/A</v>
      </c>
    </row>
    <row r="223" spans="1:3" x14ac:dyDescent="0.25">
      <c r="A223" s="13" t="e">
        <f t="shared" si="9"/>
        <v>#N/A</v>
      </c>
      <c r="B223" s="13" t="e">
        <f t="shared" si="10"/>
        <v>#N/A</v>
      </c>
      <c r="C223" s="13" t="e">
        <f t="shared" si="11"/>
        <v>#N/A</v>
      </c>
    </row>
    <row r="224" spans="1:3" x14ac:dyDescent="0.25">
      <c r="A224" s="10" t="e">
        <f t="shared" si="9"/>
        <v>#N/A</v>
      </c>
      <c r="B224" s="10" t="e">
        <f t="shared" si="10"/>
        <v>#N/A</v>
      </c>
      <c r="C224" s="10" t="e">
        <f t="shared" si="11"/>
        <v>#N/A</v>
      </c>
    </row>
    <row r="225" spans="1:3" x14ac:dyDescent="0.25">
      <c r="A225" s="13" t="e">
        <f t="shared" si="9"/>
        <v>#N/A</v>
      </c>
      <c r="B225" s="13" t="e">
        <f t="shared" si="10"/>
        <v>#N/A</v>
      </c>
      <c r="C225" s="13" t="e">
        <f t="shared" si="11"/>
        <v>#N/A</v>
      </c>
    </row>
    <row r="226" spans="1:3" x14ac:dyDescent="0.25">
      <c r="A226" s="10" t="e">
        <f t="shared" si="9"/>
        <v>#N/A</v>
      </c>
      <c r="B226" s="10" t="e">
        <f t="shared" si="10"/>
        <v>#N/A</v>
      </c>
      <c r="C226" s="10" t="e">
        <f t="shared" si="11"/>
        <v>#N/A</v>
      </c>
    </row>
    <row r="227" spans="1:3" x14ac:dyDescent="0.25">
      <c r="A227" s="13" t="e">
        <f t="shared" si="9"/>
        <v>#N/A</v>
      </c>
      <c r="B227" s="13" t="e">
        <f t="shared" si="10"/>
        <v>#N/A</v>
      </c>
      <c r="C227" s="13" t="e">
        <f t="shared" si="11"/>
        <v>#N/A</v>
      </c>
    </row>
    <row r="228" spans="1:3" x14ac:dyDescent="0.25">
      <c r="A228" s="10" t="e">
        <f t="shared" si="9"/>
        <v>#N/A</v>
      </c>
      <c r="B228" s="10" t="e">
        <f t="shared" si="10"/>
        <v>#N/A</v>
      </c>
      <c r="C228" s="10" t="e">
        <f t="shared" si="11"/>
        <v>#N/A</v>
      </c>
    </row>
    <row r="229" spans="1:3" x14ac:dyDescent="0.25">
      <c r="A229" s="13" t="e">
        <f t="shared" si="9"/>
        <v>#N/A</v>
      </c>
      <c r="B229" s="13" t="e">
        <f t="shared" si="10"/>
        <v>#N/A</v>
      </c>
      <c r="C229" s="13" t="e">
        <f t="shared" si="11"/>
        <v>#N/A</v>
      </c>
    </row>
    <row r="230" spans="1:3" x14ac:dyDescent="0.25">
      <c r="A230" s="10" t="e">
        <f t="shared" si="9"/>
        <v>#N/A</v>
      </c>
      <c r="B230" s="10" t="e">
        <f t="shared" si="10"/>
        <v>#N/A</v>
      </c>
      <c r="C230" s="10" t="e">
        <f t="shared" si="11"/>
        <v>#N/A</v>
      </c>
    </row>
    <row r="231" spans="1:3" x14ac:dyDescent="0.25">
      <c r="A231" s="13" t="e">
        <f t="shared" si="9"/>
        <v>#N/A</v>
      </c>
      <c r="B231" s="13" t="e">
        <f t="shared" si="10"/>
        <v>#N/A</v>
      </c>
      <c r="C231" s="13" t="e">
        <f t="shared" si="11"/>
        <v>#N/A</v>
      </c>
    </row>
    <row r="232" spans="1:3" x14ac:dyDescent="0.25">
      <c r="A232" s="10" t="e">
        <f t="shared" si="9"/>
        <v>#N/A</v>
      </c>
      <c r="B232" s="10" t="e">
        <f t="shared" si="10"/>
        <v>#N/A</v>
      </c>
      <c r="C232" s="10" t="e">
        <f t="shared" si="11"/>
        <v>#N/A</v>
      </c>
    </row>
    <row r="233" spans="1:3" x14ac:dyDescent="0.25">
      <c r="A233" s="13" t="e">
        <f t="shared" si="9"/>
        <v>#N/A</v>
      </c>
      <c r="B233" s="13" t="e">
        <f t="shared" si="10"/>
        <v>#N/A</v>
      </c>
      <c r="C233" s="13" t="e">
        <f t="shared" si="11"/>
        <v>#N/A</v>
      </c>
    </row>
    <row r="234" spans="1:3" x14ac:dyDescent="0.25">
      <c r="A234" s="10" t="e">
        <f t="shared" si="9"/>
        <v>#N/A</v>
      </c>
      <c r="B234" s="10" t="e">
        <f t="shared" si="10"/>
        <v>#N/A</v>
      </c>
      <c r="C234" s="10" t="e">
        <f t="shared" si="11"/>
        <v>#N/A</v>
      </c>
    </row>
    <row r="235" spans="1:3" x14ac:dyDescent="0.25">
      <c r="A235" s="13" t="e">
        <f t="shared" si="9"/>
        <v>#N/A</v>
      </c>
      <c r="B235" s="13" t="e">
        <f t="shared" si="10"/>
        <v>#N/A</v>
      </c>
      <c r="C235" s="13" t="e">
        <f t="shared" si="11"/>
        <v>#N/A</v>
      </c>
    </row>
    <row r="236" spans="1:3" x14ac:dyDescent="0.25">
      <c r="A236" s="10" t="e">
        <f t="shared" si="9"/>
        <v>#N/A</v>
      </c>
      <c r="B236" s="10" t="e">
        <f t="shared" si="10"/>
        <v>#N/A</v>
      </c>
      <c r="C236" s="10" t="e">
        <f t="shared" si="11"/>
        <v>#N/A</v>
      </c>
    </row>
    <row r="237" spans="1:3" x14ac:dyDescent="0.25">
      <c r="A237" s="13" t="e">
        <f t="shared" si="9"/>
        <v>#N/A</v>
      </c>
      <c r="B237" s="13" t="e">
        <f t="shared" si="10"/>
        <v>#N/A</v>
      </c>
      <c r="C237" s="13" t="e">
        <f t="shared" si="11"/>
        <v>#N/A</v>
      </c>
    </row>
    <row r="238" spans="1:3" x14ac:dyDescent="0.25">
      <c r="A238" s="10" t="e">
        <f t="shared" si="9"/>
        <v>#N/A</v>
      </c>
      <c r="B238" s="10" t="e">
        <f t="shared" si="10"/>
        <v>#N/A</v>
      </c>
      <c r="C238" s="10" t="e">
        <f t="shared" si="11"/>
        <v>#N/A</v>
      </c>
    </row>
    <row r="239" spans="1:3" x14ac:dyDescent="0.25">
      <c r="A239" s="13" t="e">
        <f t="shared" si="9"/>
        <v>#N/A</v>
      </c>
      <c r="B239" s="13" t="e">
        <f t="shared" si="10"/>
        <v>#N/A</v>
      </c>
      <c r="C239" s="13" t="e">
        <f t="shared" si="11"/>
        <v>#N/A</v>
      </c>
    </row>
    <row r="240" spans="1:3" x14ac:dyDescent="0.25">
      <c r="A240" s="10" t="e">
        <f t="shared" si="9"/>
        <v>#N/A</v>
      </c>
      <c r="B240" s="10" t="e">
        <f t="shared" si="10"/>
        <v>#N/A</v>
      </c>
      <c r="C240" s="10" t="e">
        <f t="shared" si="11"/>
        <v>#N/A</v>
      </c>
    </row>
    <row r="241" spans="1:3" x14ac:dyDescent="0.25">
      <c r="A241" s="13" t="e">
        <f t="shared" si="9"/>
        <v>#N/A</v>
      </c>
      <c r="B241" s="13" t="e">
        <f t="shared" si="10"/>
        <v>#N/A</v>
      </c>
      <c r="C241" s="13" t="e">
        <f t="shared" si="11"/>
        <v>#N/A</v>
      </c>
    </row>
    <row r="242" spans="1:3" x14ac:dyDescent="0.25">
      <c r="A242" s="10" t="e">
        <f t="shared" si="9"/>
        <v>#N/A</v>
      </c>
      <c r="B242" s="10" t="e">
        <f t="shared" si="10"/>
        <v>#N/A</v>
      </c>
      <c r="C242" s="10" t="e">
        <f t="shared" si="11"/>
        <v>#N/A</v>
      </c>
    </row>
    <row r="243" spans="1:3" x14ac:dyDescent="0.25">
      <c r="A243" s="13" t="e">
        <f t="shared" si="9"/>
        <v>#N/A</v>
      </c>
      <c r="B243" s="13" t="e">
        <f t="shared" si="10"/>
        <v>#N/A</v>
      </c>
      <c r="C243" s="13" t="e">
        <f t="shared" si="11"/>
        <v>#N/A</v>
      </c>
    </row>
    <row r="244" spans="1:3" x14ac:dyDescent="0.25">
      <c r="A244" s="10" t="e">
        <f t="shared" si="9"/>
        <v>#N/A</v>
      </c>
      <c r="B244" s="10" t="e">
        <f t="shared" si="10"/>
        <v>#N/A</v>
      </c>
      <c r="C244" s="10" t="e">
        <f t="shared" si="11"/>
        <v>#N/A</v>
      </c>
    </row>
    <row r="245" spans="1:3" x14ac:dyDescent="0.25">
      <c r="A245" s="13" t="e">
        <f t="shared" si="9"/>
        <v>#N/A</v>
      </c>
      <c r="B245" s="13" t="e">
        <f t="shared" si="10"/>
        <v>#N/A</v>
      </c>
      <c r="C245" s="13" t="e">
        <f t="shared" si="11"/>
        <v>#N/A</v>
      </c>
    </row>
    <row r="246" spans="1:3" x14ac:dyDescent="0.25">
      <c r="A246" s="10" t="e">
        <f t="shared" si="9"/>
        <v>#N/A</v>
      </c>
      <c r="B246" s="10" t="e">
        <f t="shared" si="10"/>
        <v>#N/A</v>
      </c>
      <c r="C246" s="10" t="e">
        <f t="shared" si="11"/>
        <v>#N/A</v>
      </c>
    </row>
    <row r="247" spans="1:3" x14ac:dyDescent="0.25">
      <c r="A247" s="13" t="e">
        <f t="shared" si="9"/>
        <v>#N/A</v>
      </c>
      <c r="B247" s="13" t="e">
        <f t="shared" si="10"/>
        <v>#N/A</v>
      </c>
      <c r="C247" s="13" t="e">
        <f t="shared" si="11"/>
        <v>#N/A</v>
      </c>
    </row>
    <row r="248" spans="1:3" x14ac:dyDescent="0.25">
      <c r="A248" s="10" t="e">
        <f t="shared" si="9"/>
        <v>#N/A</v>
      </c>
      <c r="B248" s="10" t="e">
        <f t="shared" si="10"/>
        <v>#N/A</v>
      </c>
      <c r="C248" s="10" t="e">
        <f t="shared" si="11"/>
        <v>#N/A</v>
      </c>
    </row>
    <row r="249" spans="1:3" x14ac:dyDescent="0.25">
      <c r="A249" s="13" t="e">
        <f t="shared" si="9"/>
        <v>#N/A</v>
      </c>
      <c r="B249" s="13" t="e">
        <f t="shared" si="10"/>
        <v>#N/A</v>
      </c>
      <c r="C249" s="13" t="e">
        <f t="shared" si="11"/>
        <v>#N/A</v>
      </c>
    </row>
    <row r="250" spans="1:3" x14ac:dyDescent="0.25">
      <c r="A250" s="10" t="e">
        <f t="shared" si="9"/>
        <v>#N/A</v>
      </c>
      <c r="B250" s="10" t="e">
        <f t="shared" si="10"/>
        <v>#N/A</v>
      </c>
      <c r="C250" s="10" t="e">
        <f t="shared" si="11"/>
        <v>#N/A</v>
      </c>
    </row>
    <row r="251" spans="1:3" x14ac:dyDescent="0.25">
      <c r="A251" s="13" t="e">
        <f t="shared" si="9"/>
        <v>#N/A</v>
      </c>
      <c r="B251" s="13" t="e">
        <f t="shared" si="10"/>
        <v>#N/A</v>
      </c>
      <c r="C251" s="13" t="e">
        <f t="shared" si="11"/>
        <v>#N/A</v>
      </c>
    </row>
    <row r="252" spans="1:3" x14ac:dyDescent="0.25">
      <c r="A252" s="10" t="e">
        <f t="shared" si="9"/>
        <v>#N/A</v>
      </c>
      <c r="B252" s="10" t="e">
        <f t="shared" si="10"/>
        <v>#N/A</v>
      </c>
      <c r="C252" s="10" t="e">
        <f t="shared" si="11"/>
        <v>#N/A</v>
      </c>
    </row>
    <row r="253" spans="1:3" x14ac:dyDescent="0.25">
      <c r="A253" s="13" t="e">
        <f t="shared" si="9"/>
        <v>#N/A</v>
      </c>
      <c r="B253" s="13" t="e">
        <f t="shared" si="10"/>
        <v>#N/A</v>
      </c>
      <c r="C253" s="13" t="e">
        <f t="shared" si="11"/>
        <v>#N/A</v>
      </c>
    </row>
    <row r="254" spans="1:3" x14ac:dyDescent="0.25">
      <c r="A254" s="10" t="e">
        <f t="shared" si="9"/>
        <v>#N/A</v>
      </c>
      <c r="B254" s="10" t="e">
        <f t="shared" si="10"/>
        <v>#N/A</v>
      </c>
      <c r="C254" s="10" t="e">
        <f t="shared" si="11"/>
        <v>#N/A</v>
      </c>
    </row>
    <row r="255" spans="1:3" x14ac:dyDescent="0.25">
      <c r="A255" s="13" t="e">
        <f t="shared" si="9"/>
        <v>#N/A</v>
      </c>
      <c r="B255" s="13" t="e">
        <f t="shared" si="10"/>
        <v>#N/A</v>
      </c>
      <c r="C255" s="13" t="e">
        <f t="shared" si="11"/>
        <v>#N/A</v>
      </c>
    </row>
    <row r="256" spans="1:3" x14ac:dyDescent="0.25">
      <c r="A256" s="10" t="e">
        <f t="shared" si="9"/>
        <v>#N/A</v>
      </c>
      <c r="B256" s="10" t="e">
        <f t="shared" si="10"/>
        <v>#N/A</v>
      </c>
      <c r="C256" s="10" t="e">
        <f t="shared" si="11"/>
        <v>#N/A</v>
      </c>
    </row>
    <row r="257" spans="1:3" x14ac:dyDescent="0.25">
      <c r="A257" s="13" t="e">
        <f t="shared" si="9"/>
        <v>#N/A</v>
      </c>
      <c r="B257" s="13" t="e">
        <f t="shared" si="10"/>
        <v>#N/A</v>
      </c>
      <c r="C257" s="13" t="e">
        <f t="shared" si="11"/>
        <v>#N/A</v>
      </c>
    </row>
    <row r="258" spans="1:3" x14ac:dyDescent="0.25">
      <c r="A258" s="10" t="e">
        <f t="shared" si="9"/>
        <v>#N/A</v>
      </c>
      <c r="B258" s="10" t="e">
        <f t="shared" si="10"/>
        <v>#N/A</v>
      </c>
      <c r="C258" s="10" t="e">
        <f t="shared" si="11"/>
        <v>#N/A</v>
      </c>
    </row>
    <row r="259" spans="1:3" x14ac:dyDescent="0.25">
      <c r="A259" s="13" t="e">
        <f t="shared" si="9"/>
        <v>#N/A</v>
      </c>
      <c r="B259" s="13" t="e">
        <f t="shared" si="10"/>
        <v>#N/A</v>
      </c>
      <c r="C259" s="13" t="e">
        <f t="shared" si="11"/>
        <v>#N/A</v>
      </c>
    </row>
    <row r="260" spans="1:3" x14ac:dyDescent="0.25">
      <c r="A260" s="10" t="e">
        <f t="shared" si="9"/>
        <v>#N/A</v>
      </c>
      <c r="B260" s="10" t="e">
        <f t="shared" si="10"/>
        <v>#N/A</v>
      </c>
      <c r="C260" s="10" t="e">
        <f t="shared" si="11"/>
        <v>#N/A</v>
      </c>
    </row>
    <row r="261" spans="1:3" x14ac:dyDescent="0.25">
      <c r="A261" s="13" t="e">
        <f t="shared" ref="A261:A324" si="12">IF(ISNA(A260), NA(), IF(A260 + $H$7 &lt;= $H$8 + 0.000000001, A260 + $H$7, NA()))</f>
        <v>#N/A</v>
      </c>
      <c r="B261" s="13" t="e">
        <f t="shared" ref="B261:B324" si="13">IF(ISNA(A261), NA(), $H$6 / (1 + (($H$6 - $H$4) / $H$4) * EXP(-$H$5 * A261)))</f>
        <v>#N/A</v>
      </c>
      <c r="C261" s="13" t="e">
        <f t="shared" ref="C261:C324" si="14">IF(ISNA(A261), NA(), C260 + $H$5 * C260 * (1 - C260 / $H$6) * $H$7)</f>
        <v>#N/A</v>
      </c>
    </row>
    <row r="262" spans="1:3" x14ac:dyDescent="0.25">
      <c r="A262" s="10" t="e">
        <f t="shared" si="12"/>
        <v>#N/A</v>
      </c>
      <c r="B262" s="10" t="e">
        <f t="shared" si="13"/>
        <v>#N/A</v>
      </c>
      <c r="C262" s="10" t="e">
        <f t="shared" si="14"/>
        <v>#N/A</v>
      </c>
    </row>
    <row r="263" spans="1:3" x14ac:dyDescent="0.25">
      <c r="A263" s="13" t="e">
        <f t="shared" si="12"/>
        <v>#N/A</v>
      </c>
      <c r="B263" s="13" t="e">
        <f t="shared" si="13"/>
        <v>#N/A</v>
      </c>
      <c r="C263" s="13" t="e">
        <f t="shared" si="14"/>
        <v>#N/A</v>
      </c>
    </row>
    <row r="264" spans="1:3" x14ac:dyDescent="0.25">
      <c r="A264" s="10" t="e">
        <f t="shared" si="12"/>
        <v>#N/A</v>
      </c>
      <c r="B264" s="10" t="e">
        <f t="shared" si="13"/>
        <v>#N/A</v>
      </c>
      <c r="C264" s="10" t="e">
        <f t="shared" si="14"/>
        <v>#N/A</v>
      </c>
    </row>
    <row r="265" spans="1:3" x14ac:dyDescent="0.25">
      <c r="A265" s="13" t="e">
        <f t="shared" si="12"/>
        <v>#N/A</v>
      </c>
      <c r="B265" s="13" t="e">
        <f t="shared" si="13"/>
        <v>#N/A</v>
      </c>
      <c r="C265" s="13" t="e">
        <f t="shared" si="14"/>
        <v>#N/A</v>
      </c>
    </row>
    <row r="266" spans="1:3" x14ac:dyDescent="0.25">
      <c r="A266" s="10" t="e">
        <f t="shared" si="12"/>
        <v>#N/A</v>
      </c>
      <c r="B266" s="10" t="e">
        <f t="shared" si="13"/>
        <v>#N/A</v>
      </c>
      <c r="C266" s="10" t="e">
        <f t="shared" si="14"/>
        <v>#N/A</v>
      </c>
    </row>
    <row r="267" spans="1:3" x14ac:dyDescent="0.25">
      <c r="A267" s="13" t="e">
        <f t="shared" si="12"/>
        <v>#N/A</v>
      </c>
      <c r="B267" s="13" t="e">
        <f t="shared" si="13"/>
        <v>#N/A</v>
      </c>
      <c r="C267" s="13" t="e">
        <f t="shared" si="14"/>
        <v>#N/A</v>
      </c>
    </row>
    <row r="268" spans="1:3" x14ac:dyDescent="0.25">
      <c r="A268" s="10" t="e">
        <f t="shared" si="12"/>
        <v>#N/A</v>
      </c>
      <c r="B268" s="10" t="e">
        <f t="shared" si="13"/>
        <v>#N/A</v>
      </c>
      <c r="C268" s="10" t="e">
        <f t="shared" si="14"/>
        <v>#N/A</v>
      </c>
    </row>
    <row r="269" spans="1:3" x14ac:dyDescent="0.25">
      <c r="A269" s="13" t="e">
        <f t="shared" si="12"/>
        <v>#N/A</v>
      </c>
      <c r="B269" s="13" t="e">
        <f t="shared" si="13"/>
        <v>#N/A</v>
      </c>
      <c r="C269" s="13" t="e">
        <f t="shared" si="14"/>
        <v>#N/A</v>
      </c>
    </row>
    <row r="270" spans="1:3" x14ac:dyDescent="0.25">
      <c r="A270" s="10" t="e">
        <f t="shared" si="12"/>
        <v>#N/A</v>
      </c>
      <c r="B270" s="10" t="e">
        <f t="shared" si="13"/>
        <v>#N/A</v>
      </c>
      <c r="C270" s="10" t="e">
        <f t="shared" si="14"/>
        <v>#N/A</v>
      </c>
    </row>
    <row r="271" spans="1:3" x14ac:dyDescent="0.25">
      <c r="A271" s="13" t="e">
        <f t="shared" si="12"/>
        <v>#N/A</v>
      </c>
      <c r="B271" s="13" t="e">
        <f t="shared" si="13"/>
        <v>#N/A</v>
      </c>
      <c r="C271" s="13" t="e">
        <f t="shared" si="14"/>
        <v>#N/A</v>
      </c>
    </row>
    <row r="272" spans="1:3" x14ac:dyDescent="0.25">
      <c r="A272" s="10" t="e">
        <f t="shared" si="12"/>
        <v>#N/A</v>
      </c>
      <c r="B272" s="10" t="e">
        <f t="shared" si="13"/>
        <v>#N/A</v>
      </c>
      <c r="C272" s="10" t="e">
        <f t="shared" si="14"/>
        <v>#N/A</v>
      </c>
    </row>
    <row r="273" spans="1:3" x14ac:dyDescent="0.25">
      <c r="A273" s="13" t="e">
        <f t="shared" si="12"/>
        <v>#N/A</v>
      </c>
      <c r="B273" s="13" t="e">
        <f t="shared" si="13"/>
        <v>#N/A</v>
      </c>
      <c r="C273" s="13" t="e">
        <f t="shared" si="14"/>
        <v>#N/A</v>
      </c>
    </row>
    <row r="274" spans="1:3" x14ac:dyDescent="0.25">
      <c r="A274" s="10" t="e">
        <f t="shared" si="12"/>
        <v>#N/A</v>
      </c>
      <c r="B274" s="10" t="e">
        <f t="shared" si="13"/>
        <v>#N/A</v>
      </c>
      <c r="C274" s="10" t="e">
        <f t="shared" si="14"/>
        <v>#N/A</v>
      </c>
    </row>
    <row r="275" spans="1:3" x14ac:dyDescent="0.25">
      <c r="A275" s="13" t="e">
        <f t="shared" si="12"/>
        <v>#N/A</v>
      </c>
      <c r="B275" s="13" t="e">
        <f t="shared" si="13"/>
        <v>#N/A</v>
      </c>
      <c r="C275" s="13" t="e">
        <f t="shared" si="14"/>
        <v>#N/A</v>
      </c>
    </row>
    <row r="276" spans="1:3" x14ac:dyDescent="0.25">
      <c r="A276" s="10" t="e">
        <f t="shared" si="12"/>
        <v>#N/A</v>
      </c>
      <c r="B276" s="10" t="e">
        <f t="shared" si="13"/>
        <v>#N/A</v>
      </c>
      <c r="C276" s="10" t="e">
        <f t="shared" si="14"/>
        <v>#N/A</v>
      </c>
    </row>
    <row r="277" spans="1:3" x14ac:dyDescent="0.25">
      <c r="A277" s="13" t="e">
        <f t="shared" si="12"/>
        <v>#N/A</v>
      </c>
      <c r="B277" s="13" t="e">
        <f t="shared" si="13"/>
        <v>#N/A</v>
      </c>
      <c r="C277" s="13" t="e">
        <f t="shared" si="14"/>
        <v>#N/A</v>
      </c>
    </row>
    <row r="278" spans="1:3" x14ac:dyDescent="0.25">
      <c r="A278" s="10" t="e">
        <f t="shared" si="12"/>
        <v>#N/A</v>
      </c>
      <c r="B278" s="10" t="e">
        <f t="shared" si="13"/>
        <v>#N/A</v>
      </c>
      <c r="C278" s="10" t="e">
        <f t="shared" si="14"/>
        <v>#N/A</v>
      </c>
    </row>
    <row r="279" spans="1:3" x14ac:dyDescent="0.25">
      <c r="A279" s="13" t="e">
        <f t="shared" si="12"/>
        <v>#N/A</v>
      </c>
      <c r="B279" s="13" t="e">
        <f t="shared" si="13"/>
        <v>#N/A</v>
      </c>
      <c r="C279" s="13" t="e">
        <f t="shared" si="14"/>
        <v>#N/A</v>
      </c>
    </row>
    <row r="280" spans="1:3" x14ac:dyDescent="0.25">
      <c r="A280" s="10" t="e">
        <f t="shared" si="12"/>
        <v>#N/A</v>
      </c>
      <c r="B280" s="10" t="e">
        <f t="shared" si="13"/>
        <v>#N/A</v>
      </c>
      <c r="C280" s="10" t="e">
        <f t="shared" si="14"/>
        <v>#N/A</v>
      </c>
    </row>
    <row r="281" spans="1:3" x14ac:dyDescent="0.25">
      <c r="A281" s="13" t="e">
        <f t="shared" si="12"/>
        <v>#N/A</v>
      </c>
      <c r="B281" s="13" t="e">
        <f t="shared" si="13"/>
        <v>#N/A</v>
      </c>
      <c r="C281" s="13" t="e">
        <f t="shared" si="14"/>
        <v>#N/A</v>
      </c>
    </row>
    <row r="282" spans="1:3" x14ac:dyDescent="0.25">
      <c r="A282" s="10" t="e">
        <f t="shared" si="12"/>
        <v>#N/A</v>
      </c>
      <c r="B282" s="10" t="e">
        <f t="shared" si="13"/>
        <v>#N/A</v>
      </c>
      <c r="C282" s="10" t="e">
        <f t="shared" si="14"/>
        <v>#N/A</v>
      </c>
    </row>
    <row r="283" spans="1:3" x14ac:dyDescent="0.25">
      <c r="A283" s="13" t="e">
        <f t="shared" si="12"/>
        <v>#N/A</v>
      </c>
      <c r="B283" s="13" t="e">
        <f t="shared" si="13"/>
        <v>#N/A</v>
      </c>
      <c r="C283" s="13" t="e">
        <f t="shared" si="14"/>
        <v>#N/A</v>
      </c>
    </row>
    <row r="284" spans="1:3" x14ac:dyDescent="0.25">
      <c r="A284" s="10" t="e">
        <f t="shared" si="12"/>
        <v>#N/A</v>
      </c>
      <c r="B284" s="10" t="e">
        <f t="shared" si="13"/>
        <v>#N/A</v>
      </c>
      <c r="C284" s="10" t="e">
        <f t="shared" si="14"/>
        <v>#N/A</v>
      </c>
    </row>
    <row r="285" spans="1:3" x14ac:dyDescent="0.25">
      <c r="A285" s="13" t="e">
        <f t="shared" si="12"/>
        <v>#N/A</v>
      </c>
      <c r="B285" s="13" t="e">
        <f t="shared" si="13"/>
        <v>#N/A</v>
      </c>
      <c r="C285" s="13" t="e">
        <f t="shared" si="14"/>
        <v>#N/A</v>
      </c>
    </row>
    <row r="286" spans="1:3" x14ac:dyDescent="0.25">
      <c r="A286" s="10" t="e">
        <f t="shared" si="12"/>
        <v>#N/A</v>
      </c>
      <c r="B286" s="10" t="e">
        <f t="shared" si="13"/>
        <v>#N/A</v>
      </c>
      <c r="C286" s="10" t="e">
        <f t="shared" si="14"/>
        <v>#N/A</v>
      </c>
    </row>
    <row r="287" spans="1:3" x14ac:dyDescent="0.25">
      <c r="A287" s="13" t="e">
        <f t="shared" si="12"/>
        <v>#N/A</v>
      </c>
      <c r="B287" s="13" t="e">
        <f t="shared" si="13"/>
        <v>#N/A</v>
      </c>
      <c r="C287" s="13" t="e">
        <f t="shared" si="14"/>
        <v>#N/A</v>
      </c>
    </row>
    <row r="288" spans="1:3" x14ac:dyDescent="0.25">
      <c r="A288" s="10" t="e">
        <f t="shared" si="12"/>
        <v>#N/A</v>
      </c>
      <c r="B288" s="10" t="e">
        <f t="shared" si="13"/>
        <v>#N/A</v>
      </c>
      <c r="C288" s="10" t="e">
        <f t="shared" si="14"/>
        <v>#N/A</v>
      </c>
    </row>
    <row r="289" spans="1:3" x14ac:dyDescent="0.25">
      <c r="A289" s="13" t="e">
        <f t="shared" si="12"/>
        <v>#N/A</v>
      </c>
      <c r="B289" s="13" t="e">
        <f t="shared" si="13"/>
        <v>#N/A</v>
      </c>
      <c r="C289" s="13" t="e">
        <f t="shared" si="14"/>
        <v>#N/A</v>
      </c>
    </row>
    <row r="290" spans="1:3" x14ac:dyDescent="0.25">
      <c r="A290" s="10" t="e">
        <f t="shared" si="12"/>
        <v>#N/A</v>
      </c>
      <c r="B290" s="10" t="e">
        <f t="shared" si="13"/>
        <v>#N/A</v>
      </c>
      <c r="C290" s="10" t="e">
        <f t="shared" si="14"/>
        <v>#N/A</v>
      </c>
    </row>
    <row r="291" spans="1:3" x14ac:dyDescent="0.25">
      <c r="A291" s="13" t="e">
        <f t="shared" si="12"/>
        <v>#N/A</v>
      </c>
      <c r="B291" s="13" t="e">
        <f t="shared" si="13"/>
        <v>#N/A</v>
      </c>
      <c r="C291" s="13" t="e">
        <f t="shared" si="14"/>
        <v>#N/A</v>
      </c>
    </row>
    <row r="292" spans="1:3" x14ac:dyDescent="0.25">
      <c r="A292" s="10" t="e">
        <f t="shared" si="12"/>
        <v>#N/A</v>
      </c>
      <c r="B292" s="10" t="e">
        <f t="shared" si="13"/>
        <v>#N/A</v>
      </c>
      <c r="C292" s="10" t="e">
        <f t="shared" si="14"/>
        <v>#N/A</v>
      </c>
    </row>
    <row r="293" spans="1:3" x14ac:dyDescent="0.25">
      <c r="A293" s="13" t="e">
        <f t="shared" si="12"/>
        <v>#N/A</v>
      </c>
      <c r="B293" s="13" t="e">
        <f t="shared" si="13"/>
        <v>#N/A</v>
      </c>
      <c r="C293" s="13" t="e">
        <f t="shared" si="14"/>
        <v>#N/A</v>
      </c>
    </row>
    <row r="294" spans="1:3" x14ac:dyDescent="0.25">
      <c r="A294" s="10" t="e">
        <f t="shared" si="12"/>
        <v>#N/A</v>
      </c>
      <c r="B294" s="10" t="e">
        <f t="shared" si="13"/>
        <v>#N/A</v>
      </c>
      <c r="C294" s="10" t="e">
        <f t="shared" si="14"/>
        <v>#N/A</v>
      </c>
    </row>
    <row r="295" spans="1:3" x14ac:dyDescent="0.25">
      <c r="A295" s="13" t="e">
        <f t="shared" si="12"/>
        <v>#N/A</v>
      </c>
      <c r="B295" s="13" t="e">
        <f t="shared" si="13"/>
        <v>#N/A</v>
      </c>
      <c r="C295" s="13" t="e">
        <f t="shared" si="14"/>
        <v>#N/A</v>
      </c>
    </row>
    <row r="296" spans="1:3" x14ac:dyDescent="0.25">
      <c r="A296" s="10" t="e">
        <f t="shared" si="12"/>
        <v>#N/A</v>
      </c>
      <c r="B296" s="10" t="e">
        <f t="shared" si="13"/>
        <v>#N/A</v>
      </c>
      <c r="C296" s="10" t="e">
        <f t="shared" si="14"/>
        <v>#N/A</v>
      </c>
    </row>
    <row r="297" spans="1:3" x14ac:dyDescent="0.25">
      <c r="A297" s="13" t="e">
        <f t="shared" si="12"/>
        <v>#N/A</v>
      </c>
      <c r="B297" s="13" t="e">
        <f t="shared" si="13"/>
        <v>#N/A</v>
      </c>
      <c r="C297" s="13" t="e">
        <f t="shared" si="14"/>
        <v>#N/A</v>
      </c>
    </row>
    <row r="298" spans="1:3" x14ac:dyDescent="0.25">
      <c r="A298" s="10" t="e">
        <f t="shared" si="12"/>
        <v>#N/A</v>
      </c>
      <c r="B298" s="10" t="e">
        <f t="shared" si="13"/>
        <v>#N/A</v>
      </c>
      <c r="C298" s="10" t="e">
        <f t="shared" si="14"/>
        <v>#N/A</v>
      </c>
    </row>
    <row r="299" spans="1:3" x14ac:dyDescent="0.25">
      <c r="A299" s="13" t="e">
        <f t="shared" si="12"/>
        <v>#N/A</v>
      </c>
      <c r="B299" s="13" t="e">
        <f t="shared" si="13"/>
        <v>#N/A</v>
      </c>
      <c r="C299" s="13" t="e">
        <f t="shared" si="14"/>
        <v>#N/A</v>
      </c>
    </row>
    <row r="300" spans="1:3" x14ac:dyDescent="0.25">
      <c r="A300" s="10" t="e">
        <f t="shared" si="12"/>
        <v>#N/A</v>
      </c>
      <c r="B300" s="10" t="e">
        <f t="shared" si="13"/>
        <v>#N/A</v>
      </c>
      <c r="C300" s="10" t="e">
        <f t="shared" si="14"/>
        <v>#N/A</v>
      </c>
    </row>
    <row r="301" spans="1:3" x14ac:dyDescent="0.25">
      <c r="A301" s="13" t="e">
        <f t="shared" si="12"/>
        <v>#N/A</v>
      </c>
      <c r="B301" s="13" t="e">
        <f t="shared" si="13"/>
        <v>#N/A</v>
      </c>
      <c r="C301" s="13" t="e">
        <f t="shared" si="14"/>
        <v>#N/A</v>
      </c>
    </row>
    <row r="302" spans="1:3" x14ac:dyDescent="0.25">
      <c r="A302" s="10" t="e">
        <f t="shared" si="12"/>
        <v>#N/A</v>
      </c>
      <c r="B302" s="10" t="e">
        <f t="shared" si="13"/>
        <v>#N/A</v>
      </c>
      <c r="C302" s="10" t="e">
        <f t="shared" si="14"/>
        <v>#N/A</v>
      </c>
    </row>
    <row r="303" spans="1:3" x14ac:dyDescent="0.25">
      <c r="A303" s="13" t="e">
        <f t="shared" si="12"/>
        <v>#N/A</v>
      </c>
      <c r="B303" s="13" t="e">
        <f t="shared" si="13"/>
        <v>#N/A</v>
      </c>
      <c r="C303" s="13" t="e">
        <f t="shared" si="14"/>
        <v>#N/A</v>
      </c>
    </row>
    <row r="304" spans="1:3" x14ac:dyDescent="0.25">
      <c r="A304" s="10" t="e">
        <f t="shared" si="12"/>
        <v>#N/A</v>
      </c>
      <c r="B304" s="10" t="e">
        <f t="shared" si="13"/>
        <v>#N/A</v>
      </c>
      <c r="C304" s="10" t="e">
        <f t="shared" si="14"/>
        <v>#N/A</v>
      </c>
    </row>
    <row r="305" spans="1:3" x14ac:dyDescent="0.25">
      <c r="A305" s="13" t="e">
        <f t="shared" si="12"/>
        <v>#N/A</v>
      </c>
      <c r="B305" s="13" t="e">
        <f t="shared" si="13"/>
        <v>#N/A</v>
      </c>
      <c r="C305" s="13" t="e">
        <f t="shared" si="14"/>
        <v>#N/A</v>
      </c>
    </row>
    <row r="306" spans="1:3" x14ac:dyDescent="0.25">
      <c r="A306" s="10" t="e">
        <f t="shared" si="12"/>
        <v>#N/A</v>
      </c>
      <c r="B306" s="10" t="e">
        <f t="shared" si="13"/>
        <v>#N/A</v>
      </c>
      <c r="C306" s="10" t="e">
        <f t="shared" si="14"/>
        <v>#N/A</v>
      </c>
    </row>
    <row r="307" spans="1:3" x14ac:dyDescent="0.25">
      <c r="A307" s="13" t="e">
        <f t="shared" si="12"/>
        <v>#N/A</v>
      </c>
      <c r="B307" s="13" t="e">
        <f t="shared" si="13"/>
        <v>#N/A</v>
      </c>
      <c r="C307" s="13" t="e">
        <f t="shared" si="14"/>
        <v>#N/A</v>
      </c>
    </row>
    <row r="308" spans="1:3" x14ac:dyDescent="0.25">
      <c r="A308" s="10" t="e">
        <f t="shared" si="12"/>
        <v>#N/A</v>
      </c>
      <c r="B308" s="10" t="e">
        <f t="shared" si="13"/>
        <v>#N/A</v>
      </c>
      <c r="C308" s="10" t="e">
        <f t="shared" si="14"/>
        <v>#N/A</v>
      </c>
    </row>
    <row r="309" spans="1:3" x14ac:dyDescent="0.25">
      <c r="A309" s="13" t="e">
        <f t="shared" si="12"/>
        <v>#N/A</v>
      </c>
      <c r="B309" s="13" t="e">
        <f t="shared" si="13"/>
        <v>#N/A</v>
      </c>
      <c r="C309" s="13" t="e">
        <f t="shared" si="14"/>
        <v>#N/A</v>
      </c>
    </row>
    <row r="310" spans="1:3" x14ac:dyDescent="0.25">
      <c r="A310" s="10" t="e">
        <f t="shared" si="12"/>
        <v>#N/A</v>
      </c>
      <c r="B310" s="10" t="e">
        <f t="shared" si="13"/>
        <v>#N/A</v>
      </c>
      <c r="C310" s="10" t="e">
        <f t="shared" si="14"/>
        <v>#N/A</v>
      </c>
    </row>
    <row r="311" spans="1:3" x14ac:dyDescent="0.25">
      <c r="A311" s="13" t="e">
        <f t="shared" si="12"/>
        <v>#N/A</v>
      </c>
      <c r="B311" s="13" t="e">
        <f t="shared" si="13"/>
        <v>#N/A</v>
      </c>
      <c r="C311" s="13" t="e">
        <f t="shared" si="14"/>
        <v>#N/A</v>
      </c>
    </row>
    <row r="312" spans="1:3" x14ac:dyDescent="0.25">
      <c r="A312" s="10" t="e">
        <f t="shared" si="12"/>
        <v>#N/A</v>
      </c>
      <c r="B312" s="10" t="e">
        <f t="shared" si="13"/>
        <v>#N/A</v>
      </c>
      <c r="C312" s="10" t="e">
        <f t="shared" si="14"/>
        <v>#N/A</v>
      </c>
    </row>
    <row r="313" spans="1:3" x14ac:dyDescent="0.25">
      <c r="A313" s="13" t="e">
        <f t="shared" si="12"/>
        <v>#N/A</v>
      </c>
      <c r="B313" s="13" t="e">
        <f t="shared" si="13"/>
        <v>#N/A</v>
      </c>
      <c r="C313" s="13" t="e">
        <f t="shared" si="14"/>
        <v>#N/A</v>
      </c>
    </row>
    <row r="314" spans="1:3" x14ac:dyDescent="0.25">
      <c r="A314" s="10" t="e">
        <f t="shared" si="12"/>
        <v>#N/A</v>
      </c>
      <c r="B314" s="10" t="e">
        <f t="shared" si="13"/>
        <v>#N/A</v>
      </c>
      <c r="C314" s="10" t="e">
        <f t="shared" si="14"/>
        <v>#N/A</v>
      </c>
    </row>
    <row r="315" spans="1:3" x14ac:dyDescent="0.25">
      <c r="A315" s="13" t="e">
        <f t="shared" si="12"/>
        <v>#N/A</v>
      </c>
      <c r="B315" s="13" t="e">
        <f t="shared" si="13"/>
        <v>#N/A</v>
      </c>
      <c r="C315" s="13" t="e">
        <f t="shared" si="14"/>
        <v>#N/A</v>
      </c>
    </row>
    <row r="316" spans="1:3" x14ac:dyDescent="0.25">
      <c r="A316" s="10" t="e">
        <f t="shared" si="12"/>
        <v>#N/A</v>
      </c>
      <c r="B316" s="10" t="e">
        <f t="shared" si="13"/>
        <v>#N/A</v>
      </c>
      <c r="C316" s="10" t="e">
        <f t="shared" si="14"/>
        <v>#N/A</v>
      </c>
    </row>
    <row r="317" spans="1:3" x14ac:dyDescent="0.25">
      <c r="A317" s="13" t="e">
        <f t="shared" si="12"/>
        <v>#N/A</v>
      </c>
      <c r="B317" s="13" t="e">
        <f t="shared" si="13"/>
        <v>#N/A</v>
      </c>
      <c r="C317" s="13" t="e">
        <f t="shared" si="14"/>
        <v>#N/A</v>
      </c>
    </row>
    <row r="318" spans="1:3" x14ac:dyDescent="0.25">
      <c r="A318" s="10" t="e">
        <f t="shared" si="12"/>
        <v>#N/A</v>
      </c>
      <c r="B318" s="10" t="e">
        <f t="shared" si="13"/>
        <v>#N/A</v>
      </c>
      <c r="C318" s="10" t="e">
        <f t="shared" si="14"/>
        <v>#N/A</v>
      </c>
    </row>
    <row r="319" spans="1:3" x14ac:dyDescent="0.25">
      <c r="A319" s="13" t="e">
        <f t="shared" si="12"/>
        <v>#N/A</v>
      </c>
      <c r="B319" s="13" t="e">
        <f t="shared" si="13"/>
        <v>#N/A</v>
      </c>
      <c r="C319" s="13" t="e">
        <f t="shared" si="14"/>
        <v>#N/A</v>
      </c>
    </row>
    <row r="320" spans="1:3" x14ac:dyDescent="0.25">
      <c r="A320" s="10" t="e">
        <f t="shared" si="12"/>
        <v>#N/A</v>
      </c>
      <c r="B320" s="10" t="e">
        <f t="shared" si="13"/>
        <v>#N/A</v>
      </c>
      <c r="C320" s="10" t="e">
        <f t="shared" si="14"/>
        <v>#N/A</v>
      </c>
    </row>
    <row r="321" spans="1:3" x14ac:dyDescent="0.25">
      <c r="A321" s="13" t="e">
        <f t="shared" si="12"/>
        <v>#N/A</v>
      </c>
      <c r="B321" s="13" t="e">
        <f t="shared" si="13"/>
        <v>#N/A</v>
      </c>
      <c r="C321" s="13" t="e">
        <f t="shared" si="14"/>
        <v>#N/A</v>
      </c>
    </row>
    <row r="322" spans="1:3" x14ac:dyDescent="0.25">
      <c r="A322" s="10" t="e">
        <f t="shared" si="12"/>
        <v>#N/A</v>
      </c>
      <c r="B322" s="10" t="e">
        <f t="shared" si="13"/>
        <v>#N/A</v>
      </c>
      <c r="C322" s="10" t="e">
        <f t="shared" si="14"/>
        <v>#N/A</v>
      </c>
    </row>
    <row r="323" spans="1:3" x14ac:dyDescent="0.25">
      <c r="A323" s="13" t="e">
        <f t="shared" si="12"/>
        <v>#N/A</v>
      </c>
      <c r="B323" s="13" t="e">
        <f t="shared" si="13"/>
        <v>#N/A</v>
      </c>
      <c r="C323" s="13" t="e">
        <f t="shared" si="14"/>
        <v>#N/A</v>
      </c>
    </row>
    <row r="324" spans="1:3" x14ac:dyDescent="0.25">
      <c r="A324" s="10" t="e">
        <f t="shared" si="12"/>
        <v>#N/A</v>
      </c>
      <c r="B324" s="10" t="e">
        <f t="shared" si="13"/>
        <v>#N/A</v>
      </c>
      <c r="C324" s="10" t="e">
        <f t="shared" si="14"/>
        <v>#N/A</v>
      </c>
    </row>
    <row r="325" spans="1:3" x14ac:dyDescent="0.25">
      <c r="A325" s="13" t="e">
        <f t="shared" ref="A325:A388" si="15">IF(ISNA(A324), NA(), IF(A324 + $H$7 &lt;= $H$8 + 0.000000001, A324 + $H$7, NA()))</f>
        <v>#N/A</v>
      </c>
      <c r="B325" s="13" t="e">
        <f t="shared" ref="B325:B388" si="16">IF(ISNA(A325), NA(), $H$6 / (1 + (($H$6 - $H$4) / $H$4) * EXP(-$H$5 * A325)))</f>
        <v>#N/A</v>
      </c>
      <c r="C325" s="13" t="e">
        <f t="shared" ref="C325:C388" si="17">IF(ISNA(A325), NA(), C324 + $H$5 * C324 * (1 - C324 / $H$6) * $H$7)</f>
        <v>#N/A</v>
      </c>
    </row>
    <row r="326" spans="1:3" x14ac:dyDescent="0.25">
      <c r="A326" s="10" t="e">
        <f t="shared" si="15"/>
        <v>#N/A</v>
      </c>
      <c r="B326" s="10" t="e">
        <f t="shared" si="16"/>
        <v>#N/A</v>
      </c>
      <c r="C326" s="10" t="e">
        <f t="shared" si="17"/>
        <v>#N/A</v>
      </c>
    </row>
    <row r="327" spans="1:3" x14ac:dyDescent="0.25">
      <c r="A327" s="13" t="e">
        <f t="shared" si="15"/>
        <v>#N/A</v>
      </c>
      <c r="B327" s="13" t="e">
        <f t="shared" si="16"/>
        <v>#N/A</v>
      </c>
      <c r="C327" s="13" t="e">
        <f t="shared" si="17"/>
        <v>#N/A</v>
      </c>
    </row>
    <row r="328" spans="1:3" x14ac:dyDescent="0.25">
      <c r="A328" s="10" t="e">
        <f t="shared" si="15"/>
        <v>#N/A</v>
      </c>
      <c r="B328" s="10" t="e">
        <f t="shared" si="16"/>
        <v>#N/A</v>
      </c>
      <c r="C328" s="10" t="e">
        <f t="shared" si="17"/>
        <v>#N/A</v>
      </c>
    </row>
    <row r="329" spans="1:3" x14ac:dyDescent="0.25">
      <c r="A329" s="13" t="e">
        <f t="shared" si="15"/>
        <v>#N/A</v>
      </c>
      <c r="B329" s="13" t="e">
        <f t="shared" si="16"/>
        <v>#N/A</v>
      </c>
      <c r="C329" s="13" t="e">
        <f t="shared" si="17"/>
        <v>#N/A</v>
      </c>
    </row>
    <row r="330" spans="1:3" x14ac:dyDescent="0.25">
      <c r="A330" s="10" t="e">
        <f t="shared" si="15"/>
        <v>#N/A</v>
      </c>
      <c r="B330" s="10" t="e">
        <f t="shared" si="16"/>
        <v>#N/A</v>
      </c>
      <c r="C330" s="10" t="e">
        <f t="shared" si="17"/>
        <v>#N/A</v>
      </c>
    </row>
    <row r="331" spans="1:3" x14ac:dyDescent="0.25">
      <c r="A331" s="13" t="e">
        <f t="shared" si="15"/>
        <v>#N/A</v>
      </c>
      <c r="B331" s="13" t="e">
        <f t="shared" si="16"/>
        <v>#N/A</v>
      </c>
      <c r="C331" s="13" t="e">
        <f t="shared" si="17"/>
        <v>#N/A</v>
      </c>
    </row>
    <row r="332" spans="1:3" x14ac:dyDescent="0.25">
      <c r="A332" s="10" t="e">
        <f t="shared" si="15"/>
        <v>#N/A</v>
      </c>
      <c r="B332" s="10" t="e">
        <f t="shared" si="16"/>
        <v>#N/A</v>
      </c>
      <c r="C332" s="10" t="e">
        <f t="shared" si="17"/>
        <v>#N/A</v>
      </c>
    </row>
    <row r="333" spans="1:3" x14ac:dyDescent="0.25">
      <c r="A333" s="13" t="e">
        <f t="shared" si="15"/>
        <v>#N/A</v>
      </c>
      <c r="B333" s="13" t="e">
        <f t="shared" si="16"/>
        <v>#N/A</v>
      </c>
      <c r="C333" s="13" t="e">
        <f t="shared" si="17"/>
        <v>#N/A</v>
      </c>
    </row>
    <row r="334" spans="1:3" x14ac:dyDescent="0.25">
      <c r="A334" s="10" t="e">
        <f t="shared" si="15"/>
        <v>#N/A</v>
      </c>
      <c r="B334" s="10" t="e">
        <f t="shared" si="16"/>
        <v>#N/A</v>
      </c>
      <c r="C334" s="10" t="e">
        <f t="shared" si="17"/>
        <v>#N/A</v>
      </c>
    </row>
    <row r="335" spans="1:3" x14ac:dyDescent="0.25">
      <c r="A335" s="13" t="e">
        <f t="shared" si="15"/>
        <v>#N/A</v>
      </c>
      <c r="B335" s="13" t="e">
        <f t="shared" si="16"/>
        <v>#N/A</v>
      </c>
      <c r="C335" s="13" t="e">
        <f t="shared" si="17"/>
        <v>#N/A</v>
      </c>
    </row>
    <row r="336" spans="1:3" x14ac:dyDescent="0.25">
      <c r="A336" s="10" t="e">
        <f t="shared" si="15"/>
        <v>#N/A</v>
      </c>
      <c r="B336" s="10" t="e">
        <f t="shared" si="16"/>
        <v>#N/A</v>
      </c>
      <c r="C336" s="10" t="e">
        <f t="shared" si="17"/>
        <v>#N/A</v>
      </c>
    </row>
    <row r="337" spans="1:3" x14ac:dyDescent="0.25">
      <c r="A337" s="13" t="e">
        <f t="shared" si="15"/>
        <v>#N/A</v>
      </c>
      <c r="B337" s="13" t="e">
        <f t="shared" si="16"/>
        <v>#N/A</v>
      </c>
      <c r="C337" s="13" t="e">
        <f t="shared" si="17"/>
        <v>#N/A</v>
      </c>
    </row>
    <row r="338" spans="1:3" x14ac:dyDescent="0.25">
      <c r="A338" s="10" t="e">
        <f t="shared" si="15"/>
        <v>#N/A</v>
      </c>
      <c r="B338" s="10" t="e">
        <f t="shared" si="16"/>
        <v>#N/A</v>
      </c>
      <c r="C338" s="10" t="e">
        <f t="shared" si="17"/>
        <v>#N/A</v>
      </c>
    </row>
    <row r="339" spans="1:3" x14ac:dyDescent="0.25">
      <c r="A339" s="13" t="e">
        <f t="shared" si="15"/>
        <v>#N/A</v>
      </c>
      <c r="B339" s="13" t="e">
        <f t="shared" si="16"/>
        <v>#N/A</v>
      </c>
      <c r="C339" s="13" t="e">
        <f t="shared" si="17"/>
        <v>#N/A</v>
      </c>
    </row>
    <row r="340" spans="1:3" x14ac:dyDescent="0.25">
      <c r="A340" s="10" t="e">
        <f t="shared" si="15"/>
        <v>#N/A</v>
      </c>
      <c r="B340" s="10" t="e">
        <f t="shared" si="16"/>
        <v>#N/A</v>
      </c>
      <c r="C340" s="10" t="e">
        <f t="shared" si="17"/>
        <v>#N/A</v>
      </c>
    </row>
    <row r="341" spans="1:3" x14ac:dyDescent="0.25">
      <c r="A341" s="13" t="e">
        <f t="shared" si="15"/>
        <v>#N/A</v>
      </c>
      <c r="B341" s="13" t="e">
        <f t="shared" si="16"/>
        <v>#N/A</v>
      </c>
      <c r="C341" s="13" t="e">
        <f t="shared" si="17"/>
        <v>#N/A</v>
      </c>
    </row>
    <row r="342" spans="1:3" x14ac:dyDescent="0.25">
      <c r="A342" s="10" t="e">
        <f t="shared" si="15"/>
        <v>#N/A</v>
      </c>
      <c r="B342" s="10" t="e">
        <f t="shared" si="16"/>
        <v>#N/A</v>
      </c>
      <c r="C342" s="10" t="e">
        <f t="shared" si="17"/>
        <v>#N/A</v>
      </c>
    </row>
    <row r="343" spans="1:3" x14ac:dyDescent="0.25">
      <c r="A343" s="13" t="e">
        <f t="shared" si="15"/>
        <v>#N/A</v>
      </c>
      <c r="B343" s="13" t="e">
        <f t="shared" si="16"/>
        <v>#N/A</v>
      </c>
      <c r="C343" s="13" t="e">
        <f t="shared" si="17"/>
        <v>#N/A</v>
      </c>
    </row>
    <row r="344" spans="1:3" x14ac:dyDescent="0.25">
      <c r="A344" s="10" t="e">
        <f t="shared" si="15"/>
        <v>#N/A</v>
      </c>
      <c r="B344" s="10" t="e">
        <f t="shared" si="16"/>
        <v>#N/A</v>
      </c>
      <c r="C344" s="10" t="e">
        <f t="shared" si="17"/>
        <v>#N/A</v>
      </c>
    </row>
    <row r="345" spans="1:3" x14ac:dyDescent="0.25">
      <c r="A345" s="13" t="e">
        <f t="shared" si="15"/>
        <v>#N/A</v>
      </c>
      <c r="B345" s="13" t="e">
        <f t="shared" si="16"/>
        <v>#N/A</v>
      </c>
      <c r="C345" s="13" t="e">
        <f t="shared" si="17"/>
        <v>#N/A</v>
      </c>
    </row>
    <row r="346" spans="1:3" x14ac:dyDescent="0.25">
      <c r="A346" s="10" t="e">
        <f t="shared" si="15"/>
        <v>#N/A</v>
      </c>
      <c r="B346" s="10" t="e">
        <f t="shared" si="16"/>
        <v>#N/A</v>
      </c>
      <c r="C346" s="10" t="e">
        <f t="shared" si="17"/>
        <v>#N/A</v>
      </c>
    </row>
    <row r="347" spans="1:3" x14ac:dyDescent="0.25">
      <c r="A347" s="13" t="e">
        <f t="shared" si="15"/>
        <v>#N/A</v>
      </c>
      <c r="B347" s="13" t="e">
        <f t="shared" si="16"/>
        <v>#N/A</v>
      </c>
      <c r="C347" s="13" t="e">
        <f t="shared" si="17"/>
        <v>#N/A</v>
      </c>
    </row>
    <row r="348" spans="1:3" x14ac:dyDescent="0.25">
      <c r="A348" s="10" t="e">
        <f t="shared" si="15"/>
        <v>#N/A</v>
      </c>
      <c r="B348" s="10" t="e">
        <f t="shared" si="16"/>
        <v>#N/A</v>
      </c>
      <c r="C348" s="10" t="e">
        <f t="shared" si="17"/>
        <v>#N/A</v>
      </c>
    </row>
    <row r="349" spans="1:3" x14ac:dyDescent="0.25">
      <c r="A349" s="13" t="e">
        <f t="shared" si="15"/>
        <v>#N/A</v>
      </c>
      <c r="B349" s="13" t="e">
        <f t="shared" si="16"/>
        <v>#N/A</v>
      </c>
      <c r="C349" s="13" t="e">
        <f t="shared" si="17"/>
        <v>#N/A</v>
      </c>
    </row>
    <row r="350" spans="1:3" x14ac:dyDescent="0.25">
      <c r="A350" s="10" t="e">
        <f t="shared" si="15"/>
        <v>#N/A</v>
      </c>
      <c r="B350" s="10" t="e">
        <f t="shared" si="16"/>
        <v>#N/A</v>
      </c>
      <c r="C350" s="10" t="e">
        <f t="shared" si="17"/>
        <v>#N/A</v>
      </c>
    </row>
    <row r="351" spans="1:3" x14ac:dyDescent="0.25">
      <c r="A351" s="13" t="e">
        <f t="shared" si="15"/>
        <v>#N/A</v>
      </c>
      <c r="B351" s="13" t="e">
        <f t="shared" si="16"/>
        <v>#N/A</v>
      </c>
      <c r="C351" s="13" t="e">
        <f t="shared" si="17"/>
        <v>#N/A</v>
      </c>
    </row>
    <row r="352" spans="1:3" x14ac:dyDescent="0.25">
      <c r="A352" s="10" t="e">
        <f t="shared" si="15"/>
        <v>#N/A</v>
      </c>
      <c r="B352" s="10" t="e">
        <f t="shared" si="16"/>
        <v>#N/A</v>
      </c>
      <c r="C352" s="10" t="e">
        <f t="shared" si="17"/>
        <v>#N/A</v>
      </c>
    </row>
    <row r="353" spans="1:3" x14ac:dyDescent="0.25">
      <c r="A353" s="13" t="e">
        <f t="shared" si="15"/>
        <v>#N/A</v>
      </c>
      <c r="B353" s="13" t="e">
        <f t="shared" si="16"/>
        <v>#N/A</v>
      </c>
      <c r="C353" s="13" t="e">
        <f t="shared" si="17"/>
        <v>#N/A</v>
      </c>
    </row>
    <row r="354" spans="1:3" x14ac:dyDescent="0.25">
      <c r="A354" s="10" t="e">
        <f t="shared" si="15"/>
        <v>#N/A</v>
      </c>
      <c r="B354" s="10" t="e">
        <f t="shared" si="16"/>
        <v>#N/A</v>
      </c>
      <c r="C354" s="10" t="e">
        <f t="shared" si="17"/>
        <v>#N/A</v>
      </c>
    </row>
    <row r="355" spans="1:3" x14ac:dyDescent="0.25">
      <c r="A355" s="13" t="e">
        <f t="shared" si="15"/>
        <v>#N/A</v>
      </c>
      <c r="B355" s="13" t="e">
        <f t="shared" si="16"/>
        <v>#N/A</v>
      </c>
      <c r="C355" s="13" t="e">
        <f t="shared" si="17"/>
        <v>#N/A</v>
      </c>
    </row>
    <row r="356" spans="1:3" x14ac:dyDescent="0.25">
      <c r="A356" s="10" t="e">
        <f t="shared" si="15"/>
        <v>#N/A</v>
      </c>
      <c r="B356" s="10" t="e">
        <f t="shared" si="16"/>
        <v>#N/A</v>
      </c>
      <c r="C356" s="10" t="e">
        <f t="shared" si="17"/>
        <v>#N/A</v>
      </c>
    </row>
    <row r="357" spans="1:3" x14ac:dyDescent="0.25">
      <c r="A357" s="13" t="e">
        <f t="shared" si="15"/>
        <v>#N/A</v>
      </c>
      <c r="B357" s="13" t="e">
        <f t="shared" si="16"/>
        <v>#N/A</v>
      </c>
      <c r="C357" s="13" t="e">
        <f t="shared" si="17"/>
        <v>#N/A</v>
      </c>
    </row>
    <row r="358" spans="1:3" x14ac:dyDescent="0.25">
      <c r="A358" s="10" t="e">
        <f t="shared" si="15"/>
        <v>#N/A</v>
      </c>
      <c r="B358" s="10" t="e">
        <f t="shared" si="16"/>
        <v>#N/A</v>
      </c>
      <c r="C358" s="10" t="e">
        <f t="shared" si="17"/>
        <v>#N/A</v>
      </c>
    </row>
    <row r="359" spans="1:3" x14ac:dyDescent="0.25">
      <c r="A359" s="13" t="e">
        <f t="shared" si="15"/>
        <v>#N/A</v>
      </c>
      <c r="B359" s="13" t="e">
        <f t="shared" si="16"/>
        <v>#N/A</v>
      </c>
      <c r="C359" s="13" t="e">
        <f t="shared" si="17"/>
        <v>#N/A</v>
      </c>
    </row>
    <row r="360" spans="1:3" x14ac:dyDescent="0.25">
      <c r="A360" s="10" t="e">
        <f t="shared" si="15"/>
        <v>#N/A</v>
      </c>
      <c r="B360" s="10" t="e">
        <f t="shared" si="16"/>
        <v>#N/A</v>
      </c>
      <c r="C360" s="10" t="e">
        <f t="shared" si="17"/>
        <v>#N/A</v>
      </c>
    </row>
    <row r="361" spans="1:3" x14ac:dyDescent="0.25">
      <c r="A361" s="13" t="e">
        <f t="shared" si="15"/>
        <v>#N/A</v>
      </c>
      <c r="B361" s="13" t="e">
        <f t="shared" si="16"/>
        <v>#N/A</v>
      </c>
      <c r="C361" s="13" t="e">
        <f t="shared" si="17"/>
        <v>#N/A</v>
      </c>
    </row>
    <row r="362" spans="1:3" x14ac:dyDescent="0.25">
      <c r="A362" s="10" t="e">
        <f t="shared" si="15"/>
        <v>#N/A</v>
      </c>
      <c r="B362" s="10" t="e">
        <f t="shared" si="16"/>
        <v>#N/A</v>
      </c>
      <c r="C362" s="10" t="e">
        <f t="shared" si="17"/>
        <v>#N/A</v>
      </c>
    </row>
    <row r="363" spans="1:3" x14ac:dyDescent="0.25">
      <c r="A363" s="13" t="e">
        <f t="shared" si="15"/>
        <v>#N/A</v>
      </c>
      <c r="B363" s="13" t="e">
        <f t="shared" si="16"/>
        <v>#N/A</v>
      </c>
      <c r="C363" s="13" t="e">
        <f t="shared" si="17"/>
        <v>#N/A</v>
      </c>
    </row>
    <row r="364" spans="1:3" x14ac:dyDescent="0.25">
      <c r="A364" s="10" t="e">
        <f t="shared" si="15"/>
        <v>#N/A</v>
      </c>
      <c r="B364" s="10" t="e">
        <f t="shared" si="16"/>
        <v>#N/A</v>
      </c>
      <c r="C364" s="10" t="e">
        <f t="shared" si="17"/>
        <v>#N/A</v>
      </c>
    </row>
    <row r="365" spans="1:3" x14ac:dyDescent="0.25">
      <c r="A365" s="13" t="e">
        <f t="shared" si="15"/>
        <v>#N/A</v>
      </c>
      <c r="B365" s="13" t="e">
        <f t="shared" si="16"/>
        <v>#N/A</v>
      </c>
      <c r="C365" s="13" t="e">
        <f t="shared" si="17"/>
        <v>#N/A</v>
      </c>
    </row>
    <row r="366" spans="1:3" x14ac:dyDescent="0.25">
      <c r="A366" s="10" t="e">
        <f t="shared" si="15"/>
        <v>#N/A</v>
      </c>
      <c r="B366" s="10" t="e">
        <f t="shared" si="16"/>
        <v>#N/A</v>
      </c>
      <c r="C366" s="10" t="e">
        <f t="shared" si="17"/>
        <v>#N/A</v>
      </c>
    </row>
    <row r="367" spans="1:3" x14ac:dyDescent="0.25">
      <c r="A367" s="13" t="e">
        <f t="shared" si="15"/>
        <v>#N/A</v>
      </c>
      <c r="B367" s="13" t="e">
        <f t="shared" si="16"/>
        <v>#N/A</v>
      </c>
      <c r="C367" s="13" t="e">
        <f t="shared" si="17"/>
        <v>#N/A</v>
      </c>
    </row>
    <row r="368" spans="1:3" x14ac:dyDescent="0.25">
      <c r="A368" s="10" t="e">
        <f t="shared" si="15"/>
        <v>#N/A</v>
      </c>
      <c r="B368" s="10" t="e">
        <f t="shared" si="16"/>
        <v>#N/A</v>
      </c>
      <c r="C368" s="10" t="e">
        <f t="shared" si="17"/>
        <v>#N/A</v>
      </c>
    </row>
    <row r="369" spans="1:3" x14ac:dyDescent="0.25">
      <c r="A369" s="13" t="e">
        <f t="shared" si="15"/>
        <v>#N/A</v>
      </c>
      <c r="B369" s="13" t="e">
        <f t="shared" si="16"/>
        <v>#N/A</v>
      </c>
      <c r="C369" s="13" t="e">
        <f t="shared" si="17"/>
        <v>#N/A</v>
      </c>
    </row>
    <row r="370" spans="1:3" x14ac:dyDescent="0.25">
      <c r="A370" s="10" t="e">
        <f t="shared" si="15"/>
        <v>#N/A</v>
      </c>
      <c r="B370" s="10" t="e">
        <f t="shared" si="16"/>
        <v>#N/A</v>
      </c>
      <c r="C370" s="10" t="e">
        <f t="shared" si="17"/>
        <v>#N/A</v>
      </c>
    </row>
    <row r="371" spans="1:3" x14ac:dyDescent="0.25">
      <c r="A371" s="13" t="e">
        <f t="shared" si="15"/>
        <v>#N/A</v>
      </c>
      <c r="B371" s="13" t="e">
        <f t="shared" si="16"/>
        <v>#N/A</v>
      </c>
      <c r="C371" s="13" t="e">
        <f t="shared" si="17"/>
        <v>#N/A</v>
      </c>
    </row>
    <row r="372" spans="1:3" x14ac:dyDescent="0.25">
      <c r="A372" s="10" t="e">
        <f t="shared" si="15"/>
        <v>#N/A</v>
      </c>
      <c r="B372" s="10" t="e">
        <f t="shared" si="16"/>
        <v>#N/A</v>
      </c>
      <c r="C372" s="10" t="e">
        <f t="shared" si="17"/>
        <v>#N/A</v>
      </c>
    </row>
    <row r="373" spans="1:3" x14ac:dyDescent="0.25">
      <c r="A373" s="13" t="e">
        <f t="shared" si="15"/>
        <v>#N/A</v>
      </c>
      <c r="B373" s="13" t="e">
        <f t="shared" si="16"/>
        <v>#N/A</v>
      </c>
      <c r="C373" s="13" t="e">
        <f t="shared" si="17"/>
        <v>#N/A</v>
      </c>
    </row>
    <row r="374" spans="1:3" x14ac:dyDescent="0.25">
      <c r="A374" s="10" t="e">
        <f t="shared" si="15"/>
        <v>#N/A</v>
      </c>
      <c r="B374" s="10" t="e">
        <f t="shared" si="16"/>
        <v>#N/A</v>
      </c>
      <c r="C374" s="10" t="e">
        <f t="shared" si="17"/>
        <v>#N/A</v>
      </c>
    </row>
    <row r="375" spans="1:3" x14ac:dyDescent="0.25">
      <c r="A375" s="13" t="e">
        <f t="shared" si="15"/>
        <v>#N/A</v>
      </c>
      <c r="B375" s="13" t="e">
        <f t="shared" si="16"/>
        <v>#N/A</v>
      </c>
      <c r="C375" s="13" t="e">
        <f t="shared" si="17"/>
        <v>#N/A</v>
      </c>
    </row>
    <row r="376" spans="1:3" x14ac:dyDescent="0.25">
      <c r="A376" s="10" t="e">
        <f t="shared" si="15"/>
        <v>#N/A</v>
      </c>
      <c r="B376" s="10" t="e">
        <f t="shared" si="16"/>
        <v>#N/A</v>
      </c>
      <c r="C376" s="10" t="e">
        <f t="shared" si="17"/>
        <v>#N/A</v>
      </c>
    </row>
    <row r="377" spans="1:3" x14ac:dyDescent="0.25">
      <c r="A377" s="13" t="e">
        <f t="shared" si="15"/>
        <v>#N/A</v>
      </c>
      <c r="B377" s="13" t="e">
        <f t="shared" si="16"/>
        <v>#N/A</v>
      </c>
      <c r="C377" s="13" t="e">
        <f t="shared" si="17"/>
        <v>#N/A</v>
      </c>
    </row>
    <row r="378" spans="1:3" x14ac:dyDescent="0.25">
      <c r="A378" s="10" t="e">
        <f t="shared" si="15"/>
        <v>#N/A</v>
      </c>
      <c r="B378" s="10" t="e">
        <f t="shared" si="16"/>
        <v>#N/A</v>
      </c>
      <c r="C378" s="10" t="e">
        <f t="shared" si="17"/>
        <v>#N/A</v>
      </c>
    </row>
    <row r="379" spans="1:3" x14ac:dyDescent="0.25">
      <c r="A379" s="13" t="e">
        <f t="shared" si="15"/>
        <v>#N/A</v>
      </c>
      <c r="B379" s="13" t="e">
        <f t="shared" si="16"/>
        <v>#N/A</v>
      </c>
      <c r="C379" s="13" t="e">
        <f t="shared" si="17"/>
        <v>#N/A</v>
      </c>
    </row>
    <row r="380" spans="1:3" x14ac:dyDescent="0.25">
      <c r="A380" s="10" t="e">
        <f t="shared" si="15"/>
        <v>#N/A</v>
      </c>
      <c r="B380" s="10" t="e">
        <f t="shared" si="16"/>
        <v>#N/A</v>
      </c>
      <c r="C380" s="10" t="e">
        <f t="shared" si="17"/>
        <v>#N/A</v>
      </c>
    </row>
    <row r="381" spans="1:3" x14ac:dyDescent="0.25">
      <c r="A381" s="13" t="e">
        <f t="shared" si="15"/>
        <v>#N/A</v>
      </c>
      <c r="B381" s="13" t="e">
        <f t="shared" si="16"/>
        <v>#N/A</v>
      </c>
      <c r="C381" s="13" t="e">
        <f t="shared" si="17"/>
        <v>#N/A</v>
      </c>
    </row>
    <row r="382" spans="1:3" x14ac:dyDescent="0.25">
      <c r="A382" s="10" t="e">
        <f t="shared" si="15"/>
        <v>#N/A</v>
      </c>
      <c r="B382" s="10" t="e">
        <f t="shared" si="16"/>
        <v>#N/A</v>
      </c>
      <c r="C382" s="10" t="e">
        <f t="shared" si="17"/>
        <v>#N/A</v>
      </c>
    </row>
    <row r="383" spans="1:3" x14ac:dyDescent="0.25">
      <c r="A383" s="13" t="e">
        <f t="shared" si="15"/>
        <v>#N/A</v>
      </c>
      <c r="B383" s="13" t="e">
        <f t="shared" si="16"/>
        <v>#N/A</v>
      </c>
      <c r="C383" s="13" t="e">
        <f t="shared" si="17"/>
        <v>#N/A</v>
      </c>
    </row>
    <row r="384" spans="1:3" x14ac:dyDescent="0.25">
      <c r="A384" s="10" t="e">
        <f t="shared" si="15"/>
        <v>#N/A</v>
      </c>
      <c r="B384" s="10" t="e">
        <f t="shared" si="16"/>
        <v>#N/A</v>
      </c>
      <c r="C384" s="10" t="e">
        <f t="shared" si="17"/>
        <v>#N/A</v>
      </c>
    </row>
    <row r="385" spans="1:3" x14ac:dyDescent="0.25">
      <c r="A385" s="13" t="e">
        <f t="shared" si="15"/>
        <v>#N/A</v>
      </c>
      <c r="B385" s="13" t="e">
        <f t="shared" si="16"/>
        <v>#N/A</v>
      </c>
      <c r="C385" s="13" t="e">
        <f t="shared" si="17"/>
        <v>#N/A</v>
      </c>
    </row>
    <row r="386" spans="1:3" x14ac:dyDescent="0.25">
      <c r="A386" s="10" t="e">
        <f t="shared" si="15"/>
        <v>#N/A</v>
      </c>
      <c r="B386" s="10" t="e">
        <f t="shared" si="16"/>
        <v>#N/A</v>
      </c>
      <c r="C386" s="10" t="e">
        <f t="shared" si="17"/>
        <v>#N/A</v>
      </c>
    </row>
    <row r="387" spans="1:3" x14ac:dyDescent="0.25">
      <c r="A387" s="13" t="e">
        <f t="shared" si="15"/>
        <v>#N/A</v>
      </c>
      <c r="B387" s="13" t="e">
        <f t="shared" si="16"/>
        <v>#N/A</v>
      </c>
      <c r="C387" s="13" t="e">
        <f t="shared" si="17"/>
        <v>#N/A</v>
      </c>
    </row>
    <row r="388" spans="1:3" x14ac:dyDescent="0.25">
      <c r="A388" s="10" t="e">
        <f t="shared" si="15"/>
        <v>#N/A</v>
      </c>
      <c r="B388" s="10" t="e">
        <f t="shared" si="16"/>
        <v>#N/A</v>
      </c>
      <c r="C388" s="10" t="e">
        <f t="shared" si="17"/>
        <v>#N/A</v>
      </c>
    </row>
    <row r="389" spans="1:3" x14ac:dyDescent="0.25">
      <c r="A389" s="13" t="e">
        <f t="shared" ref="A389:A452" si="18">IF(ISNA(A388), NA(), IF(A388 + $H$7 &lt;= $H$8 + 0.000000001, A388 + $H$7, NA()))</f>
        <v>#N/A</v>
      </c>
      <c r="B389" s="13" t="e">
        <f t="shared" ref="B389:B452" si="19">IF(ISNA(A389), NA(), $H$6 / (1 + (($H$6 - $H$4) / $H$4) * EXP(-$H$5 * A389)))</f>
        <v>#N/A</v>
      </c>
      <c r="C389" s="13" t="e">
        <f t="shared" ref="C389:C452" si="20">IF(ISNA(A389), NA(), C388 + $H$5 * C388 * (1 - C388 / $H$6) * $H$7)</f>
        <v>#N/A</v>
      </c>
    </row>
    <row r="390" spans="1:3" x14ac:dyDescent="0.25">
      <c r="A390" s="10" t="e">
        <f t="shared" si="18"/>
        <v>#N/A</v>
      </c>
      <c r="B390" s="10" t="e">
        <f t="shared" si="19"/>
        <v>#N/A</v>
      </c>
      <c r="C390" s="10" t="e">
        <f t="shared" si="20"/>
        <v>#N/A</v>
      </c>
    </row>
    <row r="391" spans="1:3" x14ac:dyDescent="0.25">
      <c r="A391" s="13" t="e">
        <f t="shared" si="18"/>
        <v>#N/A</v>
      </c>
      <c r="B391" s="13" t="e">
        <f t="shared" si="19"/>
        <v>#N/A</v>
      </c>
      <c r="C391" s="13" t="e">
        <f t="shared" si="20"/>
        <v>#N/A</v>
      </c>
    </row>
    <row r="392" spans="1:3" x14ac:dyDescent="0.25">
      <c r="A392" s="10" t="e">
        <f t="shared" si="18"/>
        <v>#N/A</v>
      </c>
      <c r="B392" s="10" t="e">
        <f t="shared" si="19"/>
        <v>#N/A</v>
      </c>
      <c r="C392" s="10" t="e">
        <f t="shared" si="20"/>
        <v>#N/A</v>
      </c>
    </row>
    <row r="393" spans="1:3" x14ac:dyDescent="0.25">
      <c r="A393" s="13" t="e">
        <f t="shared" si="18"/>
        <v>#N/A</v>
      </c>
      <c r="B393" s="13" t="e">
        <f t="shared" si="19"/>
        <v>#N/A</v>
      </c>
      <c r="C393" s="13" t="e">
        <f t="shared" si="20"/>
        <v>#N/A</v>
      </c>
    </row>
    <row r="394" spans="1:3" x14ac:dyDescent="0.25">
      <c r="A394" s="10" t="e">
        <f t="shared" si="18"/>
        <v>#N/A</v>
      </c>
      <c r="B394" s="10" t="e">
        <f t="shared" si="19"/>
        <v>#N/A</v>
      </c>
      <c r="C394" s="10" t="e">
        <f t="shared" si="20"/>
        <v>#N/A</v>
      </c>
    </row>
    <row r="395" spans="1:3" x14ac:dyDescent="0.25">
      <c r="A395" s="13" t="e">
        <f t="shared" si="18"/>
        <v>#N/A</v>
      </c>
      <c r="B395" s="13" t="e">
        <f t="shared" si="19"/>
        <v>#N/A</v>
      </c>
      <c r="C395" s="13" t="e">
        <f t="shared" si="20"/>
        <v>#N/A</v>
      </c>
    </row>
    <row r="396" spans="1:3" x14ac:dyDescent="0.25">
      <c r="A396" s="10" t="e">
        <f t="shared" si="18"/>
        <v>#N/A</v>
      </c>
      <c r="B396" s="10" t="e">
        <f t="shared" si="19"/>
        <v>#N/A</v>
      </c>
      <c r="C396" s="10" t="e">
        <f t="shared" si="20"/>
        <v>#N/A</v>
      </c>
    </row>
    <row r="397" spans="1:3" x14ac:dyDescent="0.25">
      <c r="A397" s="13" t="e">
        <f t="shared" si="18"/>
        <v>#N/A</v>
      </c>
      <c r="B397" s="13" t="e">
        <f t="shared" si="19"/>
        <v>#N/A</v>
      </c>
      <c r="C397" s="13" t="e">
        <f t="shared" si="20"/>
        <v>#N/A</v>
      </c>
    </row>
    <row r="398" spans="1:3" x14ac:dyDescent="0.25">
      <c r="A398" s="10" t="e">
        <f t="shared" si="18"/>
        <v>#N/A</v>
      </c>
      <c r="B398" s="10" t="e">
        <f t="shared" si="19"/>
        <v>#N/A</v>
      </c>
      <c r="C398" s="10" t="e">
        <f t="shared" si="20"/>
        <v>#N/A</v>
      </c>
    </row>
    <row r="399" spans="1:3" x14ac:dyDescent="0.25">
      <c r="A399" s="13" t="e">
        <f t="shared" si="18"/>
        <v>#N/A</v>
      </c>
      <c r="B399" s="13" t="e">
        <f t="shared" si="19"/>
        <v>#N/A</v>
      </c>
      <c r="C399" s="13" t="e">
        <f t="shared" si="20"/>
        <v>#N/A</v>
      </c>
    </row>
    <row r="400" spans="1:3" x14ac:dyDescent="0.25">
      <c r="A400" s="10" t="e">
        <f t="shared" si="18"/>
        <v>#N/A</v>
      </c>
      <c r="B400" s="10" t="e">
        <f t="shared" si="19"/>
        <v>#N/A</v>
      </c>
      <c r="C400" s="10" t="e">
        <f t="shared" si="20"/>
        <v>#N/A</v>
      </c>
    </row>
    <row r="401" spans="1:3" x14ac:dyDescent="0.25">
      <c r="A401" s="13" t="e">
        <f t="shared" si="18"/>
        <v>#N/A</v>
      </c>
      <c r="B401" s="13" t="e">
        <f t="shared" si="19"/>
        <v>#N/A</v>
      </c>
      <c r="C401" s="13" t="e">
        <f t="shared" si="20"/>
        <v>#N/A</v>
      </c>
    </row>
    <row r="402" spans="1:3" x14ac:dyDescent="0.25">
      <c r="A402" s="10" t="e">
        <f t="shared" si="18"/>
        <v>#N/A</v>
      </c>
      <c r="B402" s="10" t="e">
        <f t="shared" si="19"/>
        <v>#N/A</v>
      </c>
      <c r="C402" s="10" t="e">
        <f t="shared" si="20"/>
        <v>#N/A</v>
      </c>
    </row>
    <row r="403" spans="1:3" x14ac:dyDescent="0.25">
      <c r="A403" s="13" t="e">
        <f t="shared" si="18"/>
        <v>#N/A</v>
      </c>
      <c r="B403" s="13" t="e">
        <f t="shared" si="19"/>
        <v>#N/A</v>
      </c>
      <c r="C403" s="13" t="e">
        <f t="shared" si="20"/>
        <v>#N/A</v>
      </c>
    </row>
    <row r="404" spans="1:3" x14ac:dyDescent="0.25">
      <c r="A404" s="10" t="e">
        <f t="shared" si="18"/>
        <v>#N/A</v>
      </c>
      <c r="B404" s="10" t="e">
        <f t="shared" si="19"/>
        <v>#N/A</v>
      </c>
      <c r="C404" s="10" t="e">
        <f t="shared" si="20"/>
        <v>#N/A</v>
      </c>
    </row>
    <row r="405" spans="1:3" x14ac:dyDescent="0.25">
      <c r="A405" s="13" t="e">
        <f t="shared" si="18"/>
        <v>#N/A</v>
      </c>
      <c r="B405" s="13" t="e">
        <f t="shared" si="19"/>
        <v>#N/A</v>
      </c>
      <c r="C405" s="13" t="e">
        <f t="shared" si="20"/>
        <v>#N/A</v>
      </c>
    </row>
    <row r="406" spans="1:3" x14ac:dyDescent="0.25">
      <c r="A406" s="10" t="e">
        <f t="shared" si="18"/>
        <v>#N/A</v>
      </c>
      <c r="B406" s="10" t="e">
        <f t="shared" si="19"/>
        <v>#N/A</v>
      </c>
      <c r="C406" s="10" t="e">
        <f t="shared" si="20"/>
        <v>#N/A</v>
      </c>
    </row>
    <row r="407" spans="1:3" x14ac:dyDescent="0.25">
      <c r="A407" s="13" t="e">
        <f t="shared" si="18"/>
        <v>#N/A</v>
      </c>
      <c r="B407" s="13" t="e">
        <f t="shared" si="19"/>
        <v>#N/A</v>
      </c>
      <c r="C407" s="13" t="e">
        <f t="shared" si="20"/>
        <v>#N/A</v>
      </c>
    </row>
    <row r="408" spans="1:3" x14ac:dyDescent="0.25">
      <c r="A408" s="10" t="e">
        <f t="shared" si="18"/>
        <v>#N/A</v>
      </c>
      <c r="B408" s="10" t="e">
        <f t="shared" si="19"/>
        <v>#N/A</v>
      </c>
      <c r="C408" s="10" t="e">
        <f t="shared" si="20"/>
        <v>#N/A</v>
      </c>
    </row>
    <row r="409" spans="1:3" x14ac:dyDescent="0.25">
      <c r="A409" s="13" t="e">
        <f t="shared" si="18"/>
        <v>#N/A</v>
      </c>
      <c r="B409" s="13" t="e">
        <f t="shared" si="19"/>
        <v>#N/A</v>
      </c>
      <c r="C409" s="13" t="e">
        <f t="shared" si="20"/>
        <v>#N/A</v>
      </c>
    </row>
    <row r="410" spans="1:3" x14ac:dyDescent="0.25">
      <c r="A410" s="10" t="e">
        <f t="shared" si="18"/>
        <v>#N/A</v>
      </c>
      <c r="B410" s="10" t="e">
        <f t="shared" si="19"/>
        <v>#N/A</v>
      </c>
      <c r="C410" s="10" t="e">
        <f t="shared" si="20"/>
        <v>#N/A</v>
      </c>
    </row>
    <row r="411" spans="1:3" x14ac:dyDescent="0.25">
      <c r="A411" s="13" t="e">
        <f t="shared" si="18"/>
        <v>#N/A</v>
      </c>
      <c r="B411" s="13" t="e">
        <f t="shared" si="19"/>
        <v>#N/A</v>
      </c>
      <c r="C411" s="13" t="e">
        <f t="shared" si="20"/>
        <v>#N/A</v>
      </c>
    </row>
    <row r="412" spans="1:3" x14ac:dyDescent="0.25">
      <c r="A412" s="10" t="e">
        <f t="shared" si="18"/>
        <v>#N/A</v>
      </c>
      <c r="B412" s="10" t="e">
        <f t="shared" si="19"/>
        <v>#N/A</v>
      </c>
      <c r="C412" s="10" t="e">
        <f t="shared" si="20"/>
        <v>#N/A</v>
      </c>
    </row>
    <row r="413" spans="1:3" x14ac:dyDescent="0.25">
      <c r="A413" s="13" t="e">
        <f t="shared" si="18"/>
        <v>#N/A</v>
      </c>
      <c r="B413" s="13" t="e">
        <f t="shared" si="19"/>
        <v>#N/A</v>
      </c>
      <c r="C413" s="13" t="e">
        <f t="shared" si="20"/>
        <v>#N/A</v>
      </c>
    </row>
    <row r="414" spans="1:3" x14ac:dyDescent="0.25">
      <c r="A414" s="10" t="e">
        <f t="shared" si="18"/>
        <v>#N/A</v>
      </c>
      <c r="B414" s="10" t="e">
        <f t="shared" si="19"/>
        <v>#N/A</v>
      </c>
      <c r="C414" s="10" t="e">
        <f t="shared" si="20"/>
        <v>#N/A</v>
      </c>
    </row>
    <row r="415" spans="1:3" x14ac:dyDescent="0.25">
      <c r="A415" s="13" t="e">
        <f t="shared" si="18"/>
        <v>#N/A</v>
      </c>
      <c r="B415" s="13" t="e">
        <f t="shared" si="19"/>
        <v>#N/A</v>
      </c>
      <c r="C415" s="13" t="e">
        <f t="shared" si="20"/>
        <v>#N/A</v>
      </c>
    </row>
    <row r="416" spans="1:3" x14ac:dyDescent="0.25">
      <c r="A416" s="10" t="e">
        <f t="shared" si="18"/>
        <v>#N/A</v>
      </c>
      <c r="B416" s="10" t="e">
        <f t="shared" si="19"/>
        <v>#N/A</v>
      </c>
      <c r="C416" s="10" t="e">
        <f t="shared" si="20"/>
        <v>#N/A</v>
      </c>
    </row>
    <row r="417" spans="1:3" x14ac:dyDescent="0.25">
      <c r="A417" s="13" t="e">
        <f t="shared" si="18"/>
        <v>#N/A</v>
      </c>
      <c r="B417" s="13" t="e">
        <f t="shared" si="19"/>
        <v>#N/A</v>
      </c>
      <c r="C417" s="13" t="e">
        <f t="shared" si="20"/>
        <v>#N/A</v>
      </c>
    </row>
    <row r="418" spans="1:3" x14ac:dyDescent="0.25">
      <c r="A418" s="10" t="e">
        <f t="shared" si="18"/>
        <v>#N/A</v>
      </c>
      <c r="B418" s="10" t="e">
        <f t="shared" si="19"/>
        <v>#N/A</v>
      </c>
      <c r="C418" s="10" t="e">
        <f t="shared" si="20"/>
        <v>#N/A</v>
      </c>
    </row>
    <row r="419" spans="1:3" x14ac:dyDescent="0.25">
      <c r="A419" s="13" t="e">
        <f t="shared" si="18"/>
        <v>#N/A</v>
      </c>
      <c r="B419" s="13" t="e">
        <f t="shared" si="19"/>
        <v>#N/A</v>
      </c>
      <c r="C419" s="13" t="e">
        <f t="shared" si="20"/>
        <v>#N/A</v>
      </c>
    </row>
    <row r="420" spans="1:3" x14ac:dyDescent="0.25">
      <c r="A420" s="10" t="e">
        <f t="shared" si="18"/>
        <v>#N/A</v>
      </c>
      <c r="B420" s="10" t="e">
        <f t="shared" si="19"/>
        <v>#N/A</v>
      </c>
      <c r="C420" s="10" t="e">
        <f t="shared" si="20"/>
        <v>#N/A</v>
      </c>
    </row>
    <row r="421" spans="1:3" x14ac:dyDescent="0.25">
      <c r="A421" s="13" t="e">
        <f t="shared" si="18"/>
        <v>#N/A</v>
      </c>
      <c r="B421" s="13" t="e">
        <f t="shared" si="19"/>
        <v>#N/A</v>
      </c>
      <c r="C421" s="13" t="e">
        <f t="shared" si="20"/>
        <v>#N/A</v>
      </c>
    </row>
    <row r="422" spans="1:3" x14ac:dyDescent="0.25">
      <c r="A422" s="10" t="e">
        <f t="shared" si="18"/>
        <v>#N/A</v>
      </c>
      <c r="B422" s="10" t="e">
        <f t="shared" si="19"/>
        <v>#N/A</v>
      </c>
      <c r="C422" s="10" t="e">
        <f t="shared" si="20"/>
        <v>#N/A</v>
      </c>
    </row>
    <row r="423" spans="1:3" x14ac:dyDescent="0.25">
      <c r="A423" s="13" t="e">
        <f t="shared" si="18"/>
        <v>#N/A</v>
      </c>
      <c r="B423" s="13" t="e">
        <f t="shared" si="19"/>
        <v>#N/A</v>
      </c>
      <c r="C423" s="13" t="e">
        <f t="shared" si="20"/>
        <v>#N/A</v>
      </c>
    </row>
    <row r="424" spans="1:3" x14ac:dyDescent="0.25">
      <c r="A424" s="10" t="e">
        <f t="shared" si="18"/>
        <v>#N/A</v>
      </c>
      <c r="B424" s="10" t="e">
        <f t="shared" si="19"/>
        <v>#N/A</v>
      </c>
      <c r="C424" s="10" t="e">
        <f t="shared" si="20"/>
        <v>#N/A</v>
      </c>
    </row>
    <row r="425" spans="1:3" x14ac:dyDescent="0.25">
      <c r="A425" s="13" t="e">
        <f t="shared" si="18"/>
        <v>#N/A</v>
      </c>
      <c r="B425" s="13" t="e">
        <f t="shared" si="19"/>
        <v>#N/A</v>
      </c>
      <c r="C425" s="13" t="e">
        <f t="shared" si="20"/>
        <v>#N/A</v>
      </c>
    </row>
    <row r="426" spans="1:3" x14ac:dyDescent="0.25">
      <c r="A426" s="10" t="e">
        <f t="shared" si="18"/>
        <v>#N/A</v>
      </c>
      <c r="B426" s="10" t="e">
        <f t="shared" si="19"/>
        <v>#N/A</v>
      </c>
      <c r="C426" s="10" t="e">
        <f t="shared" si="20"/>
        <v>#N/A</v>
      </c>
    </row>
    <row r="427" spans="1:3" x14ac:dyDescent="0.25">
      <c r="A427" s="13" t="e">
        <f t="shared" si="18"/>
        <v>#N/A</v>
      </c>
      <c r="B427" s="13" t="e">
        <f t="shared" si="19"/>
        <v>#N/A</v>
      </c>
      <c r="C427" s="13" t="e">
        <f t="shared" si="20"/>
        <v>#N/A</v>
      </c>
    </row>
    <row r="428" spans="1:3" x14ac:dyDescent="0.25">
      <c r="A428" s="10" t="e">
        <f t="shared" si="18"/>
        <v>#N/A</v>
      </c>
      <c r="B428" s="10" t="e">
        <f t="shared" si="19"/>
        <v>#N/A</v>
      </c>
      <c r="C428" s="10" t="e">
        <f t="shared" si="20"/>
        <v>#N/A</v>
      </c>
    </row>
    <row r="429" spans="1:3" x14ac:dyDescent="0.25">
      <c r="A429" s="13" t="e">
        <f t="shared" si="18"/>
        <v>#N/A</v>
      </c>
      <c r="B429" s="13" t="e">
        <f t="shared" si="19"/>
        <v>#N/A</v>
      </c>
      <c r="C429" s="13" t="e">
        <f t="shared" si="20"/>
        <v>#N/A</v>
      </c>
    </row>
    <row r="430" spans="1:3" x14ac:dyDescent="0.25">
      <c r="A430" s="10" t="e">
        <f t="shared" si="18"/>
        <v>#N/A</v>
      </c>
      <c r="B430" s="10" t="e">
        <f t="shared" si="19"/>
        <v>#N/A</v>
      </c>
      <c r="C430" s="10" t="e">
        <f t="shared" si="20"/>
        <v>#N/A</v>
      </c>
    </row>
    <row r="431" spans="1:3" x14ac:dyDescent="0.25">
      <c r="A431" s="13" t="e">
        <f t="shared" si="18"/>
        <v>#N/A</v>
      </c>
      <c r="B431" s="13" t="e">
        <f t="shared" si="19"/>
        <v>#N/A</v>
      </c>
      <c r="C431" s="13" t="e">
        <f t="shared" si="20"/>
        <v>#N/A</v>
      </c>
    </row>
    <row r="432" spans="1:3" x14ac:dyDescent="0.25">
      <c r="A432" s="10" t="e">
        <f t="shared" si="18"/>
        <v>#N/A</v>
      </c>
      <c r="B432" s="10" t="e">
        <f t="shared" si="19"/>
        <v>#N/A</v>
      </c>
      <c r="C432" s="10" t="e">
        <f t="shared" si="20"/>
        <v>#N/A</v>
      </c>
    </row>
    <row r="433" spans="1:3" x14ac:dyDescent="0.25">
      <c r="A433" s="13" t="e">
        <f t="shared" si="18"/>
        <v>#N/A</v>
      </c>
      <c r="B433" s="13" t="e">
        <f t="shared" si="19"/>
        <v>#N/A</v>
      </c>
      <c r="C433" s="13" t="e">
        <f t="shared" si="20"/>
        <v>#N/A</v>
      </c>
    </row>
    <row r="434" spans="1:3" x14ac:dyDescent="0.25">
      <c r="A434" s="10" t="e">
        <f t="shared" si="18"/>
        <v>#N/A</v>
      </c>
      <c r="B434" s="10" t="e">
        <f t="shared" si="19"/>
        <v>#N/A</v>
      </c>
      <c r="C434" s="10" t="e">
        <f t="shared" si="20"/>
        <v>#N/A</v>
      </c>
    </row>
    <row r="435" spans="1:3" x14ac:dyDescent="0.25">
      <c r="A435" s="13" t="e">
        <f t="shared" si="18"/>
        <v>#N/A</v>
      </c>
      <c r="B435" s="13" t="e">
        <f t="shared" si="19"/>
        <v>#N/A</v>
      </c>
      <c r="C435" s="13" t="e">
        <f t="shared" si="20"/>
        <v>#N/A</v>
      </c>
    </row>
    <row r="436" spans="1:3" x14ac:dyDescent="0.25">
      <c r="A436" s="10" t="e">
        <f t="shared" si="18"/>
        <v>#N/A</v>
      </c>
      <c r="B436" s="10" t="e">
        <f t="shared" si="19"/>
        <v>#N/A</v>
      </c>
      <c r="C436" s="10" t="e">
        <f t="shared" si="20"/>
        <v>#N/A</v>
      </c>
    </row>
    <row r="437" spans="1:3" x14ac:dyDescent="0.25">
      <c r="A437" s="13" t="e">
        <f t="shared" si="18"/>
        <v>#N/A</v>
      </c>
      <c r="B437" s="13" t="e">
        <f t="shared" si="19"/>
        <v>#N/A</v>
      </c>
      <c r="C437" s="13" t="e">
        <f t="shared" si="20"/>
        <v>#N/A</v>
      </c>
    </row>
    <row r="438" spans="1:3" x14ac:dyDescent="0.25">
      <c r="A438" s="10" t="e">
        <f t="shared" si="18"/>
        <v>#N/A</v>
      </c>
      <c r="B438" s="10" t="e">
        <f t="shared" si="19"/>
        <v>#N/A</v>
      </c>
      <c r="C438" s="10" t="e">
        <f t="shared" si="20"/>
        <v>#N/A</v>
      </c>
    </row>
    <row r="439" spans="1:3" x14ac:dyDescent="0.25">
      <c r="A439" s="13" t="e">
        <f t="shared" si="18"/>
        <v>#N/A</v>
      </c>
      <c r="B439" s="13" t="e">
        <f t="shared" si="19"/>
        <v>#N/A</v>
      </c>
      <c r="C439" s="13" t="e">
        <f t="shared" si="20"/>
        <v>#N/A</v>
      </c>
    </row>
    <row r="440" spans="1:3" x14ac:dyDescent="0.25">
      <c r="A440" s="10" t="e">
        <f t="shared" si="18"/>
        <v>#N/A</v>
      </c>
      <c r="B440" s="10" t="e">
        <f t="shared" si="19"/>
        <v>#N/A</v>
      </c>
      <c r="C440" s="10" t="e">
        <f t="shared" si="20"/>
        <v>#N/A</v>
      </c>
    </row>
    <row r="441" spans="1:3" x14ac:dyDescent="0.25">
      <c r="A441" s="13" t="e">
        <f t="shared" si="18"/>
        <v>#N/A</v>
      </c>
      <c r="B441" s="13" t="e">
        <f t="shared" si="19"/>
        <v>#N/A</v>
      </c>
      <c r="C441" s="13" t="e">
        <f t="shared" si="20"/>
        <v>#N/A</v>
      </c>
    </row>
    <row r="442" spans="1:3" x14ac:dyDescent="0.25">
      <c r="A442" s="10" t="e">
        <f t="shared" si="18"/>
        <v>#N/A</v>
      </c>
      <c r="B442" s="10" t="e">
        <f t="shared" si="19"/>
        <v>#N/A</v>
      </c>
      <c r="C442" s="10" t="e">
        <f t="shared" si="20"/>
        <v>#N/A</v>
      </c>
    </row>
    <row r="443" spans="1:3" x14ac:dyDescent="0.25">
      <c r="A443" s="13" t="e">
        <f t="shared" si="18"/>
        <v>#N/A</v>
      </c>
      <c r="B443" s="13" t="e">
        <f t="shared" si="19"/>
        <v>#N/A</v>
      </c>
      <c r="C443" s="13" t="e">
        <f t="shared" si="20"/>
        <v>#N/A</v>
      </c>
    </row>
    <row r="444" spans="1:3" x14ac:dyDescent="0.25">
      <c r="A444" s="10" t="e">
        <f t="shared" si="18"/>
        <v>#N/A</v>
      </c>
      <c r="B444" s="10" t="e">
        <f t="shared" si="19"/>
        <v>#N/A</v>
      </c>
      <c r="C444" s="10" t="e">
        <f t="shared" si="20"/>
        <v>#N/A</v>
      </c>
    </row>
    <row r="445" spans="1:3" x14ac:dyDescent="0.25">
      <c r="A445" s="13" t="e">
        <f t="shared" si="18"/>
        <v>#N/A</v>
      </c>
      <c r="B445" s="13" t="e">
        <f t="shared" si="19"/>
        <v>#N/A</v>
      </c>
      <c r="C445" s="13" t="e">
        <f t="shared" si="20"/>
        <v>#N/A</v>
      </c>
    </row>
    <row r="446" spans="1:3" x14ac:dyDescent="0.25">
      <c r="A446" s="10" t="e">
        <f t="shared" si="18"/>
        <v>#N/A</v>
      </c>
      <c r="B446" s="10" t="e">
        <f t="shared" si="19"/>
        <v>#N/A</v>
      </c>
      <c r="C446" s="10" t="e">
        <f t="shared" si="20"/>
        <v>#N/A</v>
      </c>
    </row>
    <row r="447" spans="1:3" x14ac:dyDescent="0.25">
      <c r="A447" s="13" t="e">
        <f t="shared" si="18"/>
        <v>#N/A</v>
      </c>
      <c r="B447" s="13" t="e">
        <f t="shared" si="19"/>
        <v>#N/A</v>
      </c>
      <c r="C447" s="13" t="e">
        <f t="shared" si="20"/>
        <v>#N/A</v>
      </c>
    </row>
    <row r="448" spans="1:3" x14ac:dyDescent="0.25">
      <c r="A448" s="10" t="e">
        <f t="shared" si="18"/>
        <v>#N/A</v>
      </c>
      <c r="B448" s="10" t="e">
        <f t="shared" si="19"/>
        <v>#N/A</v>
      </c>
      <c r="C448" s="10" t="e">
        <f t="shared" si="20"/>
        <v>#N/A</v>
      </c>
    </row>
    <row r="449" spans="1:3" x14ac:dyDescent="0.25">
      <c r="A449" s="13" t="e">
        <f t="shared" si="18"/>
        <v>#N/A</v>
      </c>
      <c r="B449" s="13" t="e">
        <f t="shared" si="19"/>
        <v>#N/A</v>
      </c>
      <c r="C449" s="13" t="e">
        <f t="shared" si="20"/>
        <v>#N/A</v>
      </c>
    </row>
    <row r="450" spans="1:3" x14ac:dyDescent="0.25">
      <c r="A450" s="10" t="e">
        <f t="shared" si="18"/>
        <v>#N/A</v>
      </c>
      <c r="B450" s="10" t="e">
        <f t="shared" si="19"/>
        <v>#N/A</v>
      </c>
      <c r="C450" s="10" t="e">
        <f t="shared" si="20"/>
        <v>#N/A</v>
      </c>
    </row>
    <row r="451" spans="1:3" x14ac:dyDescent="0.25">
      <c r="A451" s="13" t="e">
        <f t="shared" si="18"/>
        <v>#N/A</v>
      </c>
      <c r="B451" s="13" t="e">
        <f t="shared" si="19"/>
        <v>#N/A</v>
      </c>
      <c r="C451" s="13" t="e">
        <f t="shared" si="20"/>
        <v>#N/A</v>
      </c>
    </row>
    <row r="452" spans="1:3" x14ac:dyDescent="0.25">
      <c r="A452" s="10" t="e">
        <f t="shared" si="18"/>
        <v>#N/A</v>
      </c>
      <c r="B452" s="10" t="e">
        <f t="shared" si="19"/>
        <v>#N/A</v>
      </c>
      <c r="C452" s="10" t="e">
        <f t="shared" si="20"/>
        <v>#N/A</v>
      </c>
    </row>
    <row r="453" spans="1:3" x14ac:dyDescent="0.25">
      <c r="A453" s="13" t="e">
        <f t="shared" ref="A453:A503" si="21">IF(ISNA(A452), NA(), IF(A452 + $H$7 &lt;= $H$8 + 0.000000001, A452 + $H$7, NA()))</f>
        <v>#N/A</v>
      </c>
      <c r="B453" s="13" t="e">
        <f t="shared" ref="B453:B503" si="22">IF(ISNA(A453), NA(), $H$6 / (1 + (($H$6 - $H$4) / $H$4) * EXP(-$H$5 * A453)))</f>
        <v>#N/A</v>
      </c>
      <c r="C453" s="13" t="e">
        <f t="shared" ref="C453:C503" si="23">IF(ISNA(A453), NA(), C452 + $H$5 * C452 * (1 - C452 / $H$6) * $H$7)</f>
        <v>#N/A</v>
      </c>
    </row>
    <row r="454" spans="1:3" x14ac:dyDescent="0.25">
      <c r="A454" s="10" t="e">
        <f t="shared" si="21"/>
        <v>#N/A</v>
      </c>
      <c r="B454" s="10" t="e">
        <f t="shared" si="22"/>
        <v>#N/A</v>
      </c>
      <c r="C454" s="10" t="e">
        <f t="shared" si="23"/>
        <v>#N/A</v>
      </c>
    </row>
    <row r="455" spans="1:3" x14ac:dyDescent="0.25">
      <c r="A455" s="13" t="e">
        <f t="shared" si="21"/>
        <v>#N/A</v>
      </c>
      <c r="B455" s="13" t="e">
        <f t="shared" si="22"/>
        <v>#N/A</v>
      </c>
      <c r="C455" s="13" t="e">
        <f t="shared" si="23"/>
        <v>#N/A</v>
      </c>
    </row>
    <row r="456" spans="1:3" x14ac:dyDescent="0.25">
      <c r="A456" s="10" t="e">
        <f t="shared" si="21"/>
        <v>#N/A</v>
      </c>
      <c r="B456" s="10" t="e">
        <f t="shared" si="22"/>
        <v>#N/A</v>
      </c>
      <c r="C456" s="10" t="e">
        <f t="shared" si="23"/>
        <v>#N/A</v>
      </c>
    </row>
    <row r="457" spans="1:3" x14ac:dyDescent="0.25">
      <c r="A457" s="13" t="e">
        <f t="shared" si="21"/>
        <v>#N/A</v>
      </c>
      <c r="B457" s="13" t="e">
        <f t="shared" si="22"/>
        <v>#N/A</v>
      </c>
      <c r="C457" s="13" t="e">
        <f t="shared" si="23"/>
        <v>#N/A</v>
      </c>
    </row>
    <row r="458" spans="1:3" x14ac:dyDescent="0.25">
      <c r="A458" s="10" t="e">
        <f t="shared" si="21"/>
        <v>#N/A</v>
      </c>
      <c r="B458" s="10" t="e">
        <f t="shared" si="22"/>
        <v>#N/A</v>
      </c>
      <c r="C458" s="10" t="e">
        <f t="shared" si="23"/>
        <v>#N/A</v>
      </c>
    </row>
    <row r="459" spans="1:3" x14ac:dyDescent="0.25">
      <c r="A459" s="13" t="e">
        <f t="shared" si="21"/>
        <v>#N/A</v>
      </c>
      <c r="B459" s="13" t="e">
        <f t="shared" si="22"/>
        <v>#N/A</v>
      </c>
      <c r="C459" s="13" t="e">
        <f t="shared" si="23"/>
        <v>#N/A</v>
      </c>
    </row>
    <row r="460" spans="1:3" x14ac:dyDescent="0.25">
      <c r="A460" s="10" t="e">
        <f t="shared" si="21"/>
        <v>#N/A</v>
      </c>
      <c r="B460" s="10" t="e">
        <f t="shared" si="22"/>
        <v>#N/A</v>
      </c>
      <c r="C460" s="10" t="e">
        <f t="shared" si="23"/>
        <v>#N/A</v>
      </c>
    </row>
    <row r="461" spans="1:3" x14ac:dyDescent="0.25">
      <c r="A461" s="13" t="e">
        <f t="shared" si="21"/>
        <v>#N/A</v>
      </c>
      <c r="B461" s="13" t="e">
        <f t="shared" si="22"/>
        <v>#N/A</v>
      </c>
      <c r="C461" s="13" t="e">
        <f t="shared" si="23"/>
        <v>#N/A</v>
      </c>
    </row>
    <row r="462" spans="1:3" x14ac:dyDescent="0.25">
      <c r="A462" s="10" t="e">
        <f t="shared" si="21"/>
        <v>#N/A</v>
      </c>
      <c r="B462" s="10" t="e">
        <f t="shared" si="22"/>
        <v>#N/A</v>
      </c>
      <c r="C462" s="10" t="e">
        <f t="shared" si="23"/>
        <v>#N/A</v>
      </c>
    </row>
    <row r="463" spans="1:3" x14ac:dyDescent="0.25">
      <c r="A463" s="13" t="e">
        <f t="shared" si="21"/>
        <v>#N/A</v>
      </c>
      <c r="B463" s="13" t="e">
        <f t="shared" si="22"/>
        <v>#N/A</v>
      </c>
      <c r="C463" s="13" t="e">
        <f t="shared" si="23"/>
        <v>#N/A</v>
      </c>
    </row>
    <row r="464" spans="1:3" x14ac:dyDescent="0.25">
      <c r="A464" s="10" t="e">
        <f t="shared" si="21"/>
        <v>#N/A</v>
      </c>
      <c r="B464" s="10" t="e">
        <f t="shared" si="22"/>
        <v>#N/A</v>
      </c>
      <c r="C464" s="10" t="e">
        <f t="shared" si="23"/>
        <v>#N/A</v>
      </c>
    </row>
    <row r="465" spans="1:3" x14ac:dyDescent="0.25">
      <c r="A465" s="13" t="e">
        <f t="shared" si="21"/>
        <v>#N/A</v>
      </c>
      <c r="B465" s="13" t="e">
        <f t="shared" si="22"/>
        <v>#N/A</v>
      </c>
      <c r="C465" s="13" t="e">
        <f t="shared" si="23"/>
        <v>#N/A</v>
      </c>
    </row>
    <row r="466" spans="1:3" x14ac:dyDescent="0.25">
      <c r="A466" s="10" t="e">
        <f t="shared" si="21"/>
        <v>#N/A</v>
      </c>
      <c r="B466" s="10" t="e">
        <f t="shared" si="22"/>
        <v>#N/A</v>
      </c>
      <c r="C466" s="10" t="e">
        <f t="shared" si="23"/>
        <v>#N/A</v>
      </c>
    </row>
    <row r="467" spans="1:3" x14ac:dyDescent="0.25">
      <c r="A467" s="13" t="e">
        <f t="shared" si="21"/>
        <v>#N/A</v>
      </c>
      <c r="B467" s="13" t="e">
        <f t="shared" si="22"/>
        <v>#N/A</v>
      </c>
      <c r="C467" s="13" t="e">
        <f t="shared" si="23"/>
        <v>#N/A</v>
      </c>
    </row>
    <row r="468" spans="1:3" x14ac:dyDescent="0.25">
      <c r="A468" s="10" t="e">
        <f t="shared" si="21"/>
        <v>#N/A</v>
      </c>
      <c r="B468" s="10" t="e">
        <f t="shared" si="22"/>
        <v>#N/A</v>
      </c>
      <c r="C468" s="10" t="e">
        <f t="shared" si="23"/>
        <v>#N/A</v>
      </c>
    </row>
    <row r="469" spans="1:3" x14ac:dyDescent="0.25">
      <c r="A469" s="13" t="e">
        <f t="shared" si="21"/>
        <v>#N/A</v>
      </c>
      <c r="B469" s="13" t="e">
        <f t="shared" si="22"/>
        <v>#N/A</v>
      </c>
      <c r="C469" s="13" t="e">
        <f t="shared" si="23"/>
        <v>#N/A</v>
      </c>
    </row>
    <row r="470" spans="1:3" x14ac:dyDescent="0.25">
      <c r="A470" s="10" t="e">
        <f t="shared" si="21"/>
        <v>#N/A</v>
      </c>
      <c r="B470" s="10" t="e">
        <f t="shared" si="22"/>
        <v>#N/A</v>
      </c>
      <c r="C470" s="10" t="e">
        <f t="shared" si="23"/>
        <v>#N/A</v>
      </c>
    </row>
    <row r="471" spans="1:3" x14ac:dyDescent="0.25">
      <c r="A471" s="13" t="e">
        <f t="shared" si="21"/>
        <v>#N/A</v>
      </c>
      <c r="B471" s="13" t="e">
        <f t="shared" si="22"/>
        <v>#N/A</v>
      </c>
      <c r="C471" s="13" t="e">
        <f t="shared" si="23"/>
        <v>#N/A</v>
      </c>
    </row>
    <row r="472" spans="1:3" x14ac:dyDescent="0.25">
      <c r="A472" s="10" t="e">
        <f t="shared" si="21"/>
        <v>#N/A</v>
      </c>
      <c r="B472" s="10" t="e">
        <f t="shared" si="22"/>
        <v>#N/A</v>
      </c>
      <c r="C472" s="10" t="e">
        <f t="shared" si="23"/>
        <v>#N/A</v>
      </c>
    </row>
    <row r="473" spans="1:3" x14ac:dyDescent="0.25">
      <c r="A473" s="13" t="e">
        <f t="shared" si="21"/>
        <v>#N/A</v>
      </c>
      <c r="B473" s="13" t="e">
        <f t="shared" si="22"/>
        <v>#N/A</v>
      </c>
      <c r="C473" s="13" t="e">
        <f t="shared" si="23"/>
        <v>#N/A</v>
      </c>
    </row>
    <row r="474" spans="1:3" x14ac:dyDescent="0.25">
      <c r="A474" s="10" t="e">
        <f t="shared" si="21"/>
        <v>#N/A</v>
      </c>
      <c r="B474" s="10" t="e">
        <f t="shared" si="22"/>
        <v>#N/A</v>
      </c>
      <c r="C474" s="10" t="e">
        <f t="shared" si="23"/>
        <v>#N/A</v>
      </c>
    </row>
    <row r="475" spans="1:3" x14ac:dyDescent="0.25">
      <c r="A475" s="13" t="e">
        <f t="shared" si="21"/>
        <v>#N/A</v>
      </c>
      <c r="B475" s="13" t="e">
        <f t="shared" si="22"/>
        <v>#N/A</v>
      </c>
      <c r="C475" s="13" t="e">
        <f t="shared" si="23"/>
        <v>#N/A</v>
      </c>
    </row>
    <row r="476" spans="1:3" x14ac:dyDescent="0.25">
      <c r="A476" s="10" t="e">
        <f t="shared" si="21"/>
        <v>#N/A</v>
      </c>
      <c r="B476" s="10" t="e">
        <f t="shared" si="22"/>
        <v>#N/A</v>
      </c>
      <c r="C476" s="10" t="e">
        <f t="shared" si="23"/>
        <v>#N/A</v>
      </c>
    </row>
    <row r="477" spans="1:3" x14ac:dyDescent="0.25">
      <c r="A477" s="13" t="e">
        <f t="shared" si="21"/>
        <v>#N/A</v>
      </c>
      <c r="B477" s="13" t="e">
        <f t="shared" si="22"/>
        <v>#N/A</v>
      </c>
      <c r="C477" s="13" t="e">
        <f t="shared" si="23"/>
        <v>#N/A</v>
      </c>
    </row>
    <row r="478" spans="1:3" x14ac:dyDescent="0.25">
      <c r="A478" s="10" t="e">
        <f t="shared" si="21"/>
        <v>#N/A</v>
      </c>
      <c r="B478" s="10" t="e">
        <f t="shared" si="22"/>
        <v>#N/A</v>
      </c>
      <c r="C478" s="10" t="e">
        <f t="shared" si="23"/>
        <v>#N/A</v>
      </c>
    </row>
    <row r="479" spans="1:3" x14ac:dyDescent="0.25">
      <c r="A479" s="13" t="e">
        <f t="shared" si="21"/>
        <v>#N/A</v>
      </c>
      <c r="B479" s="13" t="e">
        <f t="shared" si="22"/>
        <v>#N/A</v>
      </c>
      <c r="C479" s="13" t="e">
        <f t="shared" si="23"/>
        <v>#N/A</v>
      </c>
    </row>
    <row r="480" spans="1:3" x14ac:dyDescent="0.25">
      <c r="A480" s="10" t="e">
        <f t="shared" si="21"/>
        <v>#N/A</v>
      </c>
      <c r="B480" s="10" t="e">
        <f t="shared" si="22"/>
        <v>#N/A</v>
      </c>
      <c r="C480" s="10" t="e">
        <f t="shared" si="23"/>
        <v>#N/A</v>
      </c>
    </row>
    <row r="481" spans="1:3" x14ac:dyDescent="0.25">
      <c r="A481" s="13" t="e">
        <f t="shared" si="21"/>
        <v>#N/A</v>
      </c>
      <c r="B481" s="13" t="e">
        <f t="shared" si="22"/>
        <v>#N/A</v>
      </c>
      <c r="C481" s="13" t="e">
        <f t="shared" si="23"/>
        <v>#N/A</v>
      </c>
    </row>
    <row r="482" spans="1:3" x14ac:dyDescent="0.25">
      <c r="A482" s="10" t="e">
        <f t="shared" si="21"/>
        <v>#N/A</v>
      </c>
      <c r="B482" s="10" t="e">
        <f t="shared" si="22"/>
        <v>#N/A</v>
      </c>
      <c r="C482" s="10" t="e">
        <f t="shared" si="23"/>
        <v>#N/A</v>
      </c>
    </row>
    <row r="483" spans="1:3" x14ac:dyDescent="0.25">
      <c r="A483" s="13" t="e">
        <f t="shared" si="21"/>
        <v>#N/A</v>
      </c>
      <c r="B483" s="13" t="e">
        <f t="shared" si="22"/>
        <v>#N/A</v>
      </c>
      <c r="C483" s="13" t="e">
        <f t="shared" si="23"/>
        <v>#N/A</v>
      </c>
    </row>
    <row r="484" spans="1:3" x14ac:dyDescent="0.25">
      <c r="A484" s="10" t="e">
        <f t="shared" si="21"/>
        <v>#N/A</v>
      </c>
      <c r="B484" s="10" t="e">
        <f t="shared" si="22"/>
        <v>#N/A</v>
      </c>
      <c r="C484" s="10" t="e">
        <f t="shared" si="23"/>
        <v>#N/A</v>
      </c>
    </row>
    <row r="485" spans="1:3" x14ac:dyDescent="0.25">
      <c r="A485" s="13" t="e">
        <f t="shared" si="21"/>
        <v>#N/A</v>
      </c>
      <c r="B485" s="13" t="e">
        <f t="shared" si="22"/>
        <v>#N/A</v>
      </c>
      <c r="C485" s="13" t="e">
        <f t="shared" si="23"/>
        <v>#N/A</v>
      </c>
    </row>
    <row r="486" spans="1:3" x14ac:dyDescent="0.25">
      <c r="A486" s="10" t="e">
        <f t="shared" si="21"/>
        <v>#N/A</v>
      </c>
      <c r="B486" s="10" t="e">
        <f t="shared" si="22"/>
        <v>#N/A</v>
      </c>
      <c r="C486" s="10" t="e">
        <f t="shared" si="23"/>
        <v>#N/A</v>
      </c>
    </row>
    <row r="487" spans="1:3" x14ac:dyDescent="0.25">
      <c r="A487" s="13" t="e">
        <f t="shared" si="21"/>
        <v>#N/A</v>
      </c>
      <c r="B487" s="13" t="e">
        <f t="shared" si="22"/>
        <v>#N/A</v>
      </c>
      <c r="C487" s="13" t="e">
        <f t="shared" si="23"/>
        <v>#N/A</v>
      </c>
    </row>
    <row r="488" spans="1:3" x14ac:dyDescent="0.25">
      <c r="A488" s="10" t="e">
        <f t="shared" si="21"/>
        <v>#N/A</v>
      </c>
      <c r="B488" s="10" t="e">
        <f t="shared" si="22"/>
        <v>#N/A</v>
      </c>
      <c r="C488" s="10" t="e">
        <f t="shared" si="23"/>
        <v>#N/A</v>
      </c>
    </row>
    <row r="489" spans="1:3" x14ac:dyDescent="0.25">
      <c r="A489" s="13" t="e">
        <f t="shared" si="21"/>
        <v>#N/A</v>
      </c>
      <c r="B489" s="13" t="e">
        <f t="shared" si="22"/>
        <v>#N/A</v>
      </c>
      <c r="C489" s="13" t="e">
        <f t="shared" si="23"/>
        <v>#N/A</v>
      </c>
    </row>
    <row r="490" spans="1:3" x14ac:dyDescent="0.25">
      <c r="A490" s="10" t="e">
        <f t="shared" si="21"/>
        <v>#N/A</v>
      </c>
      <c r="B490" s="10" t="e">
        <f t="shared" si="22"/>
        <v>#N/A</v>
      </c>
      <c r="C490" s="10" t="e">
        <f t="shared" si="23"/>
        <v>#N/A</v>
      </c>
    </row>
    <row r="491" spans="1:3" x14ac:dyDescent="0.25">
      <c r="A491" s="13" t="e">
        <f t="shared" si="21"/>
        <v>#N/A</v>
      </c>
      <c r="B491" s="13" t="e">
        <f t="shared" si="22"/>
        <v>#N/A</v>
      </c>
      <c r="C491" s="13" t="e">
        <f t="shared" si="23"/>
        <v>#N/A</v>
      </c>
    </row>
    <row r="492" spans="1:3" x14ac:dyDescent="0.25">
      <c r="A492" s="10" t="e">
        <f t="shared" si="21"/>
        <v>#N/A</v>
      </c>
      <c r="B492" s="10" t="e">
        <f t="shared" si="22"/>
        <v>#N/A</v>
      </c>
      <c r="C492" s="10" t="e">
        <f t="shared" si="23"/>
        <v>#N/A</v>
      </c>
    </row>
    <row r="493" spans="1:3" x14ac:dyDescent="0.25">
      <c r="A493" s="13" t="e">
        <f t="shared" si="21"/>
        <v>#N/A</v>
      </c>
      <c r="B493" s="13" t="e">
        <f t="shared" si="22"/>
        <v>#N/A</v>
      </c>
      <c r="C493" s="13" t="e">
        <f t="shared" si="23"/>
        <v>#N/A</v>
      </c>
    </row>
    <row r="494" spans="1:3" x14ac:dyDescent="0.25">
      <c r="A494" s="10" t="e">
        <f t="shared" si="21"/>
        <v>#N/A</v>
      </c>
      <c r="B494" s="10" t="e">
        <f t="shared" si="22"/>
        <v>#N/A</v>
      </c>
      <c r="C494" s="10" t="e">
        <f t="shared" si="23"/>
        <v>#N/A</v>
      </c>
    </row>
    <row r="495" spans="1:3" x14ac:dyDescent="0.25">
      <c r="A495" s="13" t="e">
        <f t="shared" si="21"/>
        <v>#N/A</v>
      </c>
      <c r="B495" s="13" t="e">
        <f t="shared" si="22"/>
        <v>#N/A</v>
      </c>
      <c r="C495" s="13" t="e">
        <f t="shared" si="23"/>
        <v>#N/A</v>
      </c>
    </row>
    <row r="496" spans="1:3" x14ac:dyDescent="0.25">
      <c r="A496" s="10" t="e">
        <f t="shared" si="21"/>
        <v>#N/A</v>
      </c>
      <c r="B496" s="10" t="e">
        <f t="shared" si="22"/>
        <v>#N/A</v>
      </c>
      <c r="C496" s="10" t="e">
        <f t="shared" si="23"/>
        <v>#N/A</v>
      </c>
    </row>
    <row r="497" spans="1:3" x14ac:dyDescent="0.25">
      <c r="A497" s="13" t="e">
        <f t="shared" si="21"/>
        <v>#N/A</v>
      </c>
      <c r="B497" s="13" t="e">
        <f t="shared" si="22"/>
        <v>#N/A</v>
      </c>
      <c r="C497" s="13" t="e">
        <f t="shared" si="23"/>
        <v>#N/A</v>
      </c>
    </row>
    <row r="498" spans="1:3" x14ac:dyDescent="0.25">
      <c r="A498" s="10" t="e">
        <f t="shared" si="21"/>
        <v>#N/A</v>
      </c>
      <c r="B498" s="10" t="e">
        <f t="shared" si="22"/>
        <v>#N/A</v>
      </c>
      <c r="C498" s="10" t="e">
        <f t="shared" si="23"/>
        <v>#N/A</v>
      </c>
    </row>
    <row r="499" spans="1:3" x14ac:dyDescent="0.25">
      <c r="A499" s="13" t="e">
        <f t="shared" si="21"/>
        <v>#N/A</v>
      </c>
      <c r="B499" s="13" t="e">
        <f t="shared" si="22"/>
        <v>#N/A</v>
      </c>
      <c r="C499" s="13" t="e">
        <f t="shared" si="23"/>
        <v>#N/A</v>
      </c>
    </row>
    <row r="500" spans="1:3" x14ac:dyDescent="0.25">
      <c r="A500" s="10" t="e">
        <f t="shared" si="21"/>
        <v>#N/A</v>
      </c>
      <c r="B500" s="10" t="e">
        <f t="shared" si="22"/>
        <v>#N/A</v>
      </c>
      <c r="C500" s="10" t="e">
        <f t="shared" si="23"/>
        <v>#N/A</v>
      </c>
    </row>
    <row r="501" spans="1:3" x14ac:dyDescent="0.25">
      <c r="A501" s="13" t="e">
        <f t="shared" si="21"/>
        <v>#N/A</v>
      </c>
      <c r="B501" s="13" t="e">
        <f t="shared" si="22"/>
        <v>#N/A</v>
      </c>
      <c r="C501" s="13" t="e">
        <f t="shared" si="23"/>
        <v>#N/A</v>
      </c>
    </row>
    <row r="502" spans="1:3" x14ac:dyDescent="0.25">
      <c r="A502" s="10" t="e">
        <f t="shared" si="21"/>
        <v>#N/A</v>
      </c>
      <c r="B502" s="10" t="e">
        <f t="shared" si="22"/>
        <v>#N/A</v>
      </c>
      <c r="C502" s="10" t="e">
        <f t="shared" si="23"/>
        <v>#N/A</v>
      </c>
    </row>
    <row r="503" spans="1:3" x14ac:dyDescent="0.25">
      <c r="A503" s="13" t="e">
        <f t="shared" si="21"/>
        <v>#N/A</v>
      </c>
      <c r="B503" s="13" t="e">
        <f t="shared" si="22"/>
        <v>#N/A</v>
      </c>
      <c r="C503" s="13" t="e">
        <f t="shared" si="23"/>
        <v>#N/A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Malthusian Model</vt:lpstr>
      <vt:lpstr>Logistic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Václav Petrák</cp:lastModifiedBy>
  <dcterms:created xsi:type="dcterms:W3CDTF">2026-03-05T14:29:36Z</dcterms:created>
  <dcterms:modified xsi:type="dcterms:W3CDTF">2026-03-05T14:52:51Z</dcterms:modified>
</cp:coreProperties>
</file>